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codeName="ThisWorkbook"/>
  <xr:revisionPtr revIDLastSave="0" documentId="8_{F9568BAD-54C2-4EA1-B7FC-123AF30CBA67}" xr6:coauthVersionLast="47" xr6:coauthVersionMax="47" xr10:uidLastSave="{00000000-0000-0000-0000-000000000000}"/>
  <bookViews>
    <workbookView xWindow="0" yWindow="0" windowWidth="16391" windowHeight="5507" tabRatio="887" firstSheet="1" xr2:uid="{00000000-000D-0000-FFFF-FFFF00000000}"/>
  </bookViews>
  <sheets>
    <sheet name="Итоговый лист" sheetId="34" r:id="rId1"/>
    <sheet name="Лист выплат" sheetId="47" r:id="rId2"/>
    <sheet name="крейзи консум новый" sheetId="44" r:id="rId3"/>
    <sheet name="Общий чай" sheetId="8" r:id="rId4"/>
    <sheet name="Штрафы" sheetId="38" r:id="rId5"/>
    <sheet name="Промоутеры" sheetId="36" r:id="rId6"/>
    <sheet name="Расчетный Карты" sheetId="21" state="hidden" r:id="rId7"/>
    <sheet name="Доходы сотрудников" sheetId="23" r:id="rId8"/>
  </sheets>
  <definedNames>
    <definedName name="_xlnm.Print_Area" localSheetId="0">'Итоговый лист'!$A$1:$K$47</definedName>
    <definedName name="_xlnm.Print_Area" localSheetId="1">'Лист выплат'!$B$1:$P$45</definedName>
    <definedName name="_xlnm.Print_Area" localSheetId="3">'Общий чай'!$B$1:$R$65</definedName>
    <definedName name="_xlnm.Print_Area" localSheetId="5">Промоутеры!$A$1:$H$14</definedName>
    <definedName name="_xlnm.Print_Area" localSheetId="4">Штрафы!$A$5:$E$21</definedName>
    <definedName name="_xlnm.Print_Area" localSheetId="7">'Доходы сотрудников'!$A$1:$P$39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47" l="1"/>
  <c r="J48" i="47"/>
  <c r="J47" i="47"/>
  <c r="J46" i="47"/>
  <c r="J43" i="47"/>
  <c r="F13" i="34"/>
  <c r="I13" i="36"/>
  <c r="F13" i="36"/>
  <c r="I12" i="36"/>
  <c r="F12" i="36"/>
  <c r="I11" i="36"/>
  <c r="F11" i="36"/>
  <c r="F10" i="36"/>
  <c r="I10" i="36" s="1"/>
  <c r="F9" i="36"/>
  <c r="I9" i="36" s="1"/>
  <c r="F8" i="36"/>
  <c r="I8" i="36" s="1"/>
  <c r="F7" i="36"/>
  <c r="I7" i="36" s="1"/>
  <c r="F6" i="36"/>
  <c r="I6" i="36" s="1"/>
  <c r="F5" i="36"/>
  <c r="S136" i="8"/>
  <c r="S134" i="8"/>
  <c r="S132" i="8"/>
  <c r="S130" i="8"/>
  <c r="S128" i="8"/>
  <c r="S126" i="8"/>
  <c r="B126" i="8"/>
  <c r="S124" i="8"/>
  <c r="B124" i="8"/>
  <c r="S122" i="8"/>
  <c r="B122" i="8"/>
  <c r="S120" i="8"/>
  <c r="B120" i="8"/>
  <c r="S118" i="8"/>
  <c r="B118" i="8"/>
  <c r="S116" i="8"/>
  <c r="B116" i="8"/>
  <c r="S114" i="8"/>
  <c r="B114" i="8"/>
  <c r="S112" i="8"/>
  <c r="B112" i="8"/>
  <c r="S110" i="8"/>
  <c r="B110" i="8"/>
  <c r="S108" i="8"/>
  <c r="B108" i="8"/>
  <c r="S106" i="8"/>
  <c r="B106" i="8"/>
  <c r="S104" i="8"/>
  <c r="B104" i="8"/>
  <c r="S102" i="8"/>
  <c r="B102" i="8"/>
  <c r="S100" i="8"/>
  <c r="B100" i="8"/>
  <c r="S98" i="8"/>
  <c r="B98" i="8"/>
  <c r="S95" i="8"/>
  <c r="J51" i="47" s="1"/>
  <c r="B95" i="8"/>
  <c r="S93" i="8"/>
  <c r="J50" i="47" s="1"/>
  <c r="B93" i="8"/>
  <c r="S91" i="8"/>
  <c r="J49" i="47" s="1"/>
  <c r="B91" i="8"/>
  <c r="S89" i="8"/>
  <c r="B89" i="8"/>
  <c r="S87" i="8"/>
  <c r="B87" i="8"/>
  <c r="S85" i="8"/>
  <c r="B85" i="8"/>
  <c r="S83" i="8"/>
  <c r="B83" i="8"/>
  <c r="S80" i="8"/>
  <c r="B80" i="8"/>
  <c r="S78" i="8"/>
  <c r="B78" i="8"/>
  <c r="S76" i="8"/>
  <c r="B76" i="8"/>
  <c r="S74" i="8"/>
  <c r="B74" i="8"/>
  <c r="S72" i="8"/>
  <c r="B72" i="8"/>
  <c r="S69" i="8"/>
  <c r="B69" i="8"/>
  <c r="S67" i="8"/>
  <c r="B67" i="8"/>
  <c r="S65" i="8"/>
  <c r="B65" i="8"/>
  <c r="S63" i="8"/>
  <c r="B63" i="8"/>
  <c r="S61" i="8"/>
  <c r="B61" i="8"/>
  <c r="S59" i="8"/>
  <c r="B59" i="8"/>
  <c r="S57" i="8"/>
  <c r="B57" i="8"/>
  <c r="S55" i="8"/>
  <c r="B55" i="8"/>
  <c r="S52" i="8"/>
  <c r="B52" i="8"/>
  <c r="S50" i="8"/>
  <c r="B50" i="8"/>
  <c r="S48" i="8"/>
  <c r="B48" i="8"/>
  <c r="S46" i="8"/>
  <c r="B46" i="8"/>
  <c r="S44" i="8"/>
  <c r="B44" i="8"/>
  <c r="S42" i="8"/>
  <c r="B42" i="8"/>
  <c r="S40" i="8"/>
  <c r="B40" i="8"/>
  <c r="S38" i="8"/>
  <c r="B38" i="8"/>
  <c r="S36" i="8"/>
  <c r="B36" i="8"/>
  <c r="S34" i="8"/>
  <c r="B34" i="8"/>
  <c r="S31" i="8"/>
  <c r="B31" i="8"/>
  <c r="S29" i="8"/>
  <c r="B29" i="8"/>
  <c r="S27" i="8"/>
  <c r="B27" i="8"/>
  <c r="S25" i="8"/>
  <c r="B25" i="8"/>
  <c r="S23" i="8"/>
  <c r="B23" i="8"/>
  <c r="S21" i="8"/>
  <c r="B21" i="8"/>
  <c r="S19" i="8"/>
  <c r="B19" i="8"/>
  <c r="S17" i="8"/>
  <c r="B17" i="8"/>
  <c r="S15" i="8"/>
  <c r="B15" i="8"/>
  <c r="S13" i="8"/>
  <c r="B13" i="8"/>
  <c r="S11" i="8"/>
  <c r="B11" i="8"/>
  <c r="S9" i="8"/>
  <c r="B9" i="8"/>
  <c r="S7" i="8"/>
  <c r="B7" i="8"/>
  <c r="S5" i="8"/>
  <c r="B5" i="8"/>
  <c r="S3" i="8"/>
  <c r="B3" i="8"/>
  <c r="X127" i="44"/>
  <c r="C127" i="44"/>
  <c r="B127" i="44"/>
  <c r="X125" i="44"/>
  <c r="C125" i="44"/>
  <c r="B125" i="44"/>
  <c r="X123" i="44"/>
  <c r="C123" i="44"/>
  <c r="B123" i="44"/>
  <c r="X121" i="44"/>
  <c r="C121" i="44"/>
  <c r="B121" i="44"/>
  <c r="X119" i="44"/>
  <c r="C119" i="44"/>
  <c r="B119" i="44"/>
  <c r="X117" i="44"/>
  <c r="C117" i="44"/>
  <c r="B117" i="44"/>
  <c r="X115" i="44"/>
  <c r="C115" i="44"/>
  <c r="B115" i="44"/>
  <c r="X113" i="44"/>
  <c r="C113" i="44"/>
  <c r="B113" i="44"/>
  <c r="X111" i="44"/>
  <c r="C111" i="44"/>
  <c r="B111" i="44"/>
  <c r="X109" i="44"/>
  <c r="C109" i="44"/>
  <c r="B109" i="44"/>
  <c r="X107" i="44"/>
  <c r="C107" i="44"/>
  <c r="B107" i="44"/>
  <c r="X105" i="44"/>
  <c r="C105" i="44"/>
  <c r="B105" i="44"/>
  <c r="X103" i="44"/>
  <c r="C103" i="44"/>
  <c r="B103" i="44"/>
  <c r="X101" i="44"/>
  <c r="C101" i="44"/>
  <c r="B101" i="44"/>
  <c r="X99" i="44"/>
  <c r="C99" i="44"/>
  <c r="B99" i="44"/>
  <c r="X96" i="44"/>
  <c r="C96" i="44"/>
  <c r="B96" i="44"/>
  <c r="A96" i="44"/>
  <c r="X94" i="44"/>
  <c r="C94" i="44"/>
  <c r="B94" i="44"/>
  <c r="A94" i="44"/>
  <c r="X92" i="44"/>
  <c r="C92" i="44"/>
  <c r="B92" i="44"/>
  <c r="A92" i="44"/>
  <c r="X90" i="44"/>
  <c r="C90" i="44"/>
  <c r="B90" i="44"/>
  <c r="A90" i="44"/>
  <c r="X88" i="44"/>
  <c r="C88" i="44"/>
  <c r="B88" i="44"/>
  <c r="X86" i="44"/>
  <c r="C86" i="44"/>
  <c r="B86" i="44"/>
  <c r="X84" i="44"/>
  <c r="C84" i="44"/>
  <c r="B84" i="44"/>
  <c r="X81" i="44"/>
  <c r="C81" i="44"/>
  <c r="B81" i="44"/>
  <c r="X79" i="44"/>
  <c r="C79" i="44"/>
  <c r="B79" i="44"/>
  <c r="X77" i="44"/>
  <c r="C77" i="44"/>
  <c r="B77" i="44"/>
  <c r="X75" i="44"/>
  <c r="C75" i="44"/>
  <c r="B75" i="44"/>
  <c r="X73" i="44"/>
  <c r="C73" i="44"/>
  <c r="B73" i="44"/>
  <c r="X70" i="44"/>
  <c r="C70" i="44"/>
  <c r="B70" i="44"/>
  <c r="X68" i="44"/>
  <c r="C68" i="44"/>
  <c r="B68" i="44"/>
  <c r="X66" i="44"/>
  <c r="C66" i="44"/>
  <c r="B66" i="44"/>
  <c r="X64" i="44"/>
  <c r="C64" i="44"/>
  <c r="B64" i="44"/>
  <c r="X62" i="44"/>
  <c r="C62" i="44"/>
  <c r="B62" i="44"/>
  <c r="X60" i="44"/>
  <c r="C60" i="44"/>
  <c r="B60" i="44"/>
  <c r="X58" i="44"/>
  <c r="C58" i="44"/>
  <c r="B58" i="44"/>
  <c r="X56" i="44"/>
  <c r="C56" i="44"/>
  <c r="B56" i="44"/>
  <c r="X53" i="44"/>
  <c r="C53" i="44"/>
  <c r="B53" i="44"/>
  <c r="X51" i="44"/>
  <c r="C51" i="44"/>
  <c r="B51" i="44"/>
  <c r="X49" i="44"/>
  <c r="C49" i="44"/>
  <c r="B49" i="44"/>
  <c r="X47" i="44"/>
  <c r="C47" i="44"/>
  <c r="B47" i="44"/>
  <c r="X45" i="44"/>
  <c r="C45" i="44"/>
  <c r="B45" i="44"/>
  <c r="X43" i="44"/>
  <c r="C43" i="44"/>
  <c r="B43" i="44"/>
  <c r="X41" i="44"/>
  <c r="C41" i="44"/>
  <c r="B41" i="44"/>
  <c r="X39" i="44"/>
  <c r="C39" i="44"/>
  <c r="B39" i="44"/>
  <c r="X37" i="44"/>
  <c r="C37" i="44"/>
  <c r="B37" i="44"/>
  <c r="X35" i="44"/>
  <c r="C35" i="44"/>
  <c r="B35" i="44"/>
  <c r="X32" i="44"/>
  <c r="C32" i="44"/>
  <c r="B32" i="44"/>
  <c r="X30" i="44"/>
  <c r="C30" i="44"/>
  <c r="B30" i="44"/>
  <c r="X28" i="44"/>
  <c r="C28" i="44"/>
  <c r="B28" i="44"/>
  <c r="X26" i="44"/>
  <c r="C26" i="44"/>
  <c r="B26" i="44"/>
  <c r="X24" i="44"/>
  <c r="C24" i="44"/>
  <c r="B24" i="44"/>
  <c r="X22" i="44"/>
  <c r="C22" i="44"/>
  <c r="B22" i="44"/>
  <c r="X20" i="44"/>
  <c r="C20" i="44"/>
  <c r="B20" i="44"/>
  <c r="X18" i="44"/>
  <c r="C18" i="44"/>
  <c r="B18" i="44"/>
  <c r="X16" i="44"/>
  <c r="C16" i="44"/>
  <c r="B16" i="44"/>
  <c r="X14" i="44"/>
  <c r="C14" i="44"/>
  <c r="B14" i="44"/>
  <c r="X12" i="44"/>
  <c r="C12" i="44"/>
  <c r="B12" i="44"/>
  <c r="X10" i="44"/>
  <c r="C10" i="44"/>
  <c r="B10" i="44"/>
  <c r="X8" i="44"/>
  <c r="C8" i="44"/>
  <c r="B8" i="44"/>
  <c r="X6" i="44"/>
  <c r="C6" i="44"/>
  <c r="B6" i="44"/>
  <c r="X4" i="44"/>
  <c r="C4" i="44"/>
  <c r="B4" i="44"/>
  <c r="K79" i="47"/>
  <c r="O78" i="47"/>
  <c r="O77" i="47"/>
  <c r="N76" i="47"/>
  <c r="N75" i="47"/>
  <c r="N74" i="47"/>
  <c r="N73" i="47"/>
  <c r="O72" i="47"/>
  <c r="O71" i="47"/>
  <c r="O70" i="47"/>
  <c r="N69" i="47"/>
  <c r="N68" i="47"/>
  <c r="M68" i="47"/>
  <c r="M79" i="47" s="1"/>
  <c r="K68" i="47"/>
  <c r="G68" i="47"/>
  <c r="F68" i="47"/>
  <c r="E68" i="47"/>
  <c r="D68" i="47"/>
  <c r="L67" i="47"/>
  <c r="O67" i="47" s="1"/>
  <c r="J66" i="47"/>
  <c r="L66" i="47" s="1"/>
  <c r="O66" i="47" s="1"/>
  <c r="I66" i="47"/>
  <c r="H66" i="47"/>
  <c r="J65" i="47"/>
  <c r="L65" i="47" s="1"/>
  <c r="O65" i="47" s="1"/>
  <c r="I65" i="47"/>
  <c r="H65" i="47"/>
  <c r="J64" i="47"/>
  <c r="L64" i="47" s="1"/>
  <c r="O64" i="47" s="1"/>
  <c r="I64" i="47"/>
  <c r="H64" i="47"/>
  <c r="O63" i="47"/>
  <c r="L63" i="47"/>
  <c r="J63" i="47"/>
  <c r="I63" i="47"/>
  <c r="H63" i="47"/>
  <c r="O62" i="47"/>
  <c r="L62" i="47"/>
  <c r="J62" i="47"/>
  <c r="I62" i="47"/>
  <c r="H62" i="47"/>
  <c r="O61" i="47"/>
  <c r="L61" i="47"/>
  <c r="J61" i="47"/>
  <c r="I61" i="47"/>
  <c r="H61" i="47"/>
  <c r="L60" i="47"/>
  <c r="O60" i="47" s="1"/>
  <c r="I60" i="47"/>
  <c r="H60" i="47"/>
  <c r="J59" i="47"/>
  <c r="L59" i="47" s="1"/>
  <c r="O59" i="47" s="1"/>
  <c r="I59" i="47"/>
  <c r="H59" i="47"/>
  <c r="J58" i="47"/>
  <c r="L58" i="47" s="1"/>
  <c r="O58" i="47" s="1"/>
  <c r="I58" i="47"/>
  <c r="H58" i="47"/>
  <c r="O57" i="47"/>
  <c r="L57" i="47"/>
  <c r="J57" i="47"/>
  <c r="I57" i="47"/>
  <c r="H57" i="47"/>
  <c r="J56" i="47"/>
  <c r="I56" i="47"/>
  <c r="L56" i="47" s="1"/>
  <c r="O56" i="47" s="1"/>
  <c r="H56" i="47"/>
  <c r="O55" i="47"/>
  <c r="L55" i="47"/>
  <c r="J55" i="47"/>
  <c r="I55" i="47"/>
  <c r="H55" i="47"/>
  <c r="O54" i="47"/>
  <c r="L54" i="47"/>
  <c r="J54" i="47"/>
  <c r="I54" i="47"/>
  <c r="H54" i="47"/>
  <c r="J53" i="47"/>
  <c r="L53" i="47" s="1"/>
  <c r="O53" i="47" s="1"/>
  <c r="I53" i="47"/>
  <c r="H53" i="47"/>
  <c r="J52" i="47"/>
  <c r="I52" i="47"/>
  <c r="H52" i="47"/>
  <c r="L51" i="47"/>
  <c r="O51" i="47" s="1"/>
  <c r="I51" i="47"/>
  <c r="H51" i="47"/>
  <c r="L50" i="47"/>
  <c r="O50" i="47" s="1"/>
  <c r="I50" i="47"/>
  <c r="H50" i="47"/>
  <c r="L49" i="47"/>
  <c r="O49" i="47" s="1"/>
  <c r="I49" i="47"/>
  <c r="H49" i="47"/>
  <c r="L48" i="47"/>
  <c r="O48" i="47" s="1"/>
  <c r="I48" i="47"/>
  <c r="H48" i="47"/>
  <c r="L47" i="47"/>
  <c r="O47" i="47" s="1"/>
  <c r="I47" i="47"/>
  <c r="H47" i="47"/>
  <c r="L46" i="47"/>
  <c r="O46" i="47" s="1"/>
  <c r="I46" i="47"/>
  <c r="H46" i="47"/>
  <c r="L45" i="47"/>
  <c r="O45" i="47" s="1"/>
  <c r="I45" i="47"/>
  <c r="H45" i="47"/>
  <c r="L43" i="47"/>
  <c r="I43" i="47"/>
  <c r="H43" i="47"/>
  <c r="O42" i="47"/>
  <c r="L42" i="47"/>
  <c r="J42" i="47"/>
  <c r="I42" i="47"/>
  <c r="H42" i="47"/>
  <c r="O41" i="47"/>
  <c r="L41" i="47"/>
  <c r="J41" i="47"/>
  <c r="I41" i="47"/>
  <c r="H41" i="47"/>
  <c r="J40" i="47"/>
  <c r="L40" i="47" s="1"/>
  <c r="O40" i="47" s="1"/>
  <c r="I40" i="47"/>
  <c r="H40" i="47"/>
  <c r="J39" i="47"/>
  <c r="L39" i="47" s="1"/>
  <c r="O39" i="47" s="1"/>
  <c r="I39" i="47"/>
  <c r="H39" i="47"/>
  <c r="O37" i="47"/>
  <c r="L37" i="47"/>
  <c r="J37" i="47"/>
  <c r="I37" i="47"/>
  <c r="H37" i="47"/>
  <c r="O36" i="47"/>
  <c r="L36" i="47"/>
  <c r="J36" i="47"/>
  <c r="I36" i="47"/>
  <c r="H36" i="47"/>
  <c r="O35" i="47"/>
  <c r="L35" i="47"/>
  <c r="J35" i="47"/>
  <c r="I35" i="47"/>
  <c r="H35" i="47"/>
  <c r="O34" i="47"/>
  <c r="L34" i="47"/>
  <c r="J34" i="47"/>
  <c r="I34" i="47"/>
  <c r="H34" i="47"/>
  <c r="O33" i="47"/>
  <c r="L33" i="47"/>
  <c r="J33" i="47"/>
  <c r="I33" i="47"/>
  <c r="H33" i="47"/>
  <c r="O32" i="47"/>
  <c r="L32" i="47"/>
  <c r="J32" i="47"/>
  <c r="I32" i="47"/>
  <c r="H32" i="47"/>
  <c r="J31" i="47"/>
  <c r="I31" i="47"/>
  <c r="H31" i="47"/>
  <c r="J30" i="47"/>
  <c r="L30" i="47"/>
  <c r="O30" i="47" s="1"/>
  <c r="H30" i="47"/>
  <c r="O28" i="47"/>
  <c r="L28" i="47"/>
  <c r="J28" i="47"/>
  <c r="I28" i="47"/>
  <c r="H28" i="47"/>
  <c r="O27" i="47"/>
  <c r="L27" i="47"/>
  <c r="J27" i="47"/>
  <c r="I27" i="47"/>
  <c r="H27" i="47"/>
  <c r="O26" i="47"/>
  <c r="L26" i="47"/>
  <c r="J26" i="47"/>
  <c r="I26" i="47"/>
  <c r="H26" i="47"/>
  <c r="O25" i="47"/>
  <c r="L25" i="47"/>
  <c r="J25" i="47"/>
  <c r="I25" i="47"/>
  <c r="H25" i="47"/>
  <c r="O24" i="47"/>
  <c r="L24" i="47"/>
  <c r="J24" i="47"/>
  <c r="I24" i="47"/>
  <c r="H24" i="47"/>
  <c r="O23" i="47"/>
  <c r="L23" i="47"/>
  <c r="J23" i="47"/>
  <c r="I23" i="47"/>
  <c r="H23" i="47"/>
  <c r="O22" i="47"/>
  <c r="L22" i="47"/>
  <c r="J22" i="47"/>
  <c r="I22" i="47"/>
  <c r="H22" i="47"/>
  <c r="O21" i="47"/>
  <c r="L21" i="47"/>
  <c r="J21" i="47"/>
  <c r="I21" i="47"/>
  <c r="H21" i="47"/>
  <c r="O20" i="47"/>
  <c r="L20" i="47"/>
  <c r="J20" i="47"/>
  <c r="I20" i="47"/>
  <c r="H20" i="47"/>
  <c r="O19" i="47"/>
  <c r="L19" i="47"/>
  <c r="J19" i="47"/>
  <c r="I19" i="47"/>
  <c r="H19" i="47"/>
  <c r="O17" i="47"/>
  <c r="L17" i="47"/>
  <c r="J17" i="47"/>
  <c r="I17" i="47"/>
  <c r="H17" i="47"/>
  <c r="O16" i="47"/>
  <c r="L16" i="47"/>
  <c r="J16" i="47"/>
  <c r="I16" i="47"/>
  <c r="H16" i="47"/>
  <c r="O15" i="47"/>
  <c r="L15" i="47"/>
  <c r="J15" i="47"/>
  <c r="I15" i="47"/>
  <c r="H15" i="47"/>
  <c r="O14" i="47"/>
  <c r="L14" i="47"/>
  <c r="J14" i="47"/>
  <c r="I14" i="47"/>
  <c r="H14" i="47"/>
  <c r="O13" i="47"/>
  <c r="L13" i="47"/>
  <c r="J13" i="47"/>
  <c r="I13" i="47"/>
  <c r="H13" i="47"/>
  <c r="O12" i="47"/>
  <c r="L12" i="47"/>
  <c r="J12" i="47"/>
  <c r="I12" i="47"/>
  <c r="H12" i="47"/>
  <c r="O11" i="47"/>
  <c r="L11" i="47"/>
  <c r="J11" i="47"/>
  <c r="I11" i="47"/>
  <c r="H11" i="47"/>
  <c r="O10" i="47"/>
  <c r="L10" i="47"/>
  <c r="J10" i="47"/>
  <c r="I10" i="47"/>
  <c r="H10" i="47"/>
  <c r="J9" i="47"/>
  <c r="H9" i="47"/>
  <c r="J8" i="47"/>
  <c r="H8" i="47"/>
  <c r="J7" i="47"/>
  <c r="I7" i="47"/>
  <c r="H7" i="47"/>
  <c r="L7" i="47" s="1"/>
  <c r="O7" i="47" s="1"/>
  <c r="J6" i="47"/>
  <c r="I6" i="47"/>
  <c r="H6" i="47"/>
  <c r="L6" i="47" s="1"/>
  <c r="O6" i="47" s="1"/>
  <c r="J5" i="47"/>
  <c r="I5" i="47"/>
  <c r="H5" i="47"/>
  <c r="J4" i="47"/>
  <c r="I4" i="47"/>
  <c r="H4" i="47"/>
  <c r="L4" i="47" s="1"/>
  <c r="O4" i="47" s="1"/>
  <c r="J3" i="47"/>
  <c r="I3" i="47"/>
  <c r="L3" i="47"/>
  <c r="O3" i="47" s="1"/>
  <c r="I45" i="34"/>
  <c r="I44" i="34"/>
  <c r="E44" i="34"/>
  <c r="J45" i="34" s="1"/>
  <c r="K45" i="34" s="1"/>
  <c r="G41" i="34"/>
  <c r="C41" i="34"/>
  <c r="C31" i="34"/>
  <c r="B31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C16" i="34"/>
  <c r="C18" i="34" s="1"/>
  <c r="I46" i="34" s="1"/>
  <c r="F12" i="34"/>
  <c r="F11" i="34"/>
  <c r="F10" i="34"/>
  <c r="F9" i="34"/>
  <c r="F8" i="34"/>
  <c r="F7" i="34"/>
  <c r="F6" i="34"/>
  <c r="F5" i="34"/>
  <c r="F4" i="34"/>
  <c r="F3" i="34"/>
  <c r="L52" i="47" l="1"/>
  <c r="O52" i="47" s="1"/>
  <c r="N79" i="47"/>
  <c r="E43" i="34" s="1"/>
  <c r="E45" i="34" s="1"/>
  <c r="M139" i="8"/>
  <c r="L5" i="47"/>
  <c r="O5" i="47" s="1"/>
  <c r="F139" i="8"/>
  <c r="H68" i="47"/>
  <c r="L9" i="47"/>
  <c r="O9" i="47" s="1"/>
  <c r="R139" i="8"/>
  <c r="I68" i="47"/>
  <c r="L8" i="47"/>
  <c r="O8" i="47" s="1"/>
  <c r="F14" i="36"/>
  <c r="F2" i="34" s="1"/>
  <c r="I5" i="36"/>
  <c r="I14" i="36" s="1"/>
  <c r="J68" i="47"/>
  <c r="F16" i="34" s="1"/>
  <c r="L31" i="47"/>
  <c r="O31" i="47" s="1"/>
  <c r="L68" i="47"/>
  <c r="L79" i="47" s="1"/>
  <c r="O43" i="47"/>
  <c r="O68" i="47" s="1"/>
  <c r="O79" i="47" s="1"/>
  <c r="P79" i="47" s="1"/>
  <c r="C129" i="44" l="1"/>
  <c r="F14" i="34"/>
  <c r="X129" i="44"/>
  <c r="F15" i="34"/>
  <c r="F29" i="34" s="1"/>
  <c r="J46" i="34" l="1"/>
  <c r="K46" i="34" s="1"/>
  <c r="J44" i="34"/>
  <c r="K44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U608" authorId="0" shapeId="0" xr:uid="{00000000-0006-0000-0000-000001000000}">
      <text>
        <r>
          <rPr>
            <b/>
            <sz val="9"/>
            <rFont val="Tahoma"/>
            <charset val="204"/>
          </rPr>
          <t>Admin:</t>
        </r>
        <r>
          <rPr>
            <sz val="9"/>
            <rFont val="Tahoma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<sst xmlns="http://schemas.openxmlformats.org/spreadsheetml/2006/main" count="607" uniqueCount="285">
  <si>
    <t>Доходы</t>
  </si>
  <si>
    <t>Расходы</t>
  </si>
  <si>
    <t>Примечание</t>
  </si>
  <si>
    <t>Входные билеты</t>
  </si>
  <si>
    <t>Промоутеры</t>
  </si>
  <si>
    <t>Долг безнал:</t>
  </si>
  <si>
    <t>Долг нал:</t>
  </si>
  <si>
    <t>Бар</t>
  </si>
  <si>
    <t>Такси</t>
  </si>
  <si>
    <t>Д3 Даша-2300</t>
  </si>
  <si>
    <t>Д3 Даша-6750</t>
  </si>
  <si>
    <t>Консумация Бара</t>
  </si>
  <si>
    <t>Промо</t>
  </si>
  <si>
    <t>Д5 Софья-22000</t>
  </si>
  <si>
    <t>Д5 Софья-500</t>
  </si>
  <si>
    <t>Консумация кухни</t>
  </si>
  <si>
    <t>Ставка менеджера</t>
  </si>
  <si>
    <t>Д9 Лилит-8850</t>
  </si>
  <si>
    <t>Д9 Лилит-2500</t>
  </si>
  <si>
    <t>Crazy Menu</t>
  </si>
  <si>
    <t>Ставка танцовщиц</t>
  </si>
  <si>
    <t>Д11 Дана-18300</t>
  </si>
  <si>
    <t>Д11 Дана-6250</t>
  </si>
  <si>
    <t>Общий чай</t>
  </si>
  <si>
    <t>Ставка хостес</t>
  </si>
  <si>
    <t>Д18 Аннет-34200</t>
  </si>
  <si>
    <t>Д18 Аннет-500</t>
  </si>
  <si>
    <t>Overtime</t>
  </si>
  <si>
    <t>Ставка официантов</t>
  </si>
  <si>
    <t>Д21 Банни-1250</t>
  </si>
  <si>
    <t>Д21 Банни-8250</t>
  </si>
  <si>
    <t>Кальяны</t>
  </si>
  <si>
    <t>Ставка бармена</t>
  </si>
  <si>
    <t>Д66 Алиса-29700</t>
  </si>
  <si>
    <t>Д66 Алиса-2850</t>
  </si>
  <si>
    <t>Шары</t>
  </si>
  <si>
    <t>Ставка патигерл</t>
  </si>
  <si>
    <t>Оф3 Каталина-1050</t>
  </si>
  <si>
    <t>Оф3 Каталина-400</t>
  </si>
  <si>
    <t>Штрафы</t>
  </si>
  <si>
    <t>Выплата админа</t>
  </si>
  <si>
    <t>Оф4 Ника-750</t>
  </si>
  <si>
    <t>Оф4 Ника-4400</t>
  </si>
  <si>
    <t>Стафф</t>
  </si>
  <si>
    <t>Выплата стажерам</t>
  </si>
  <si>
    <t>Н3 Влада-1000</t>
  </si>
  <si>
    <t>Н4 Тати-3000</t>
  </si>
  <si>
    <t>Стафф кальян</t>
  </si>
  <si>
    <t>Выплата СБ</t>
  </si>
  <si>
    <t>Н4 Тати-1500</t>
  </si>
  <si>
    <t>Б4 Камила-4000</t>
  </si>
  <si>
    <t>Доход клуба</t>
  </si>
  <si>
    <t>CRZ - меню</t>
  </si>
  <si>
    <t>Б4 Камила-1600</t>
  </si>
  <si>
    <t>Б52 Даня-4000</t>
  </si>
  <si>
    <t>Сервисный сбор</t>
  </si>
  <si>
    <t>Консумация</t>
  </si>
  <si>
    <t>Б52 Даня-3000</t>
  </si>
  <si>
    <t>К21 Маратик-7700</t>
  </si>
  <si>
    <t xml:space="preserve">Итого </t>
  </si>
  <si>
    <t>Чаевые</t>
  </si>
  <si>
    <t>К21 Маратик-4700</t>
  </si>
  <si>
    <t>Дж14 Сергей-4200</t>
  </si>
  <si>
    <t xml:space="preserve">                  </t>
  </si>
  <si>
    <t>плюс по кассе</t>
  </si>
  <si>
    <t>Ставка кальянщика</t>
  </si>
  <si>
    <t>Дж14 Сергей-3000</t>
  </si>
  <si>
    <t>А17 Юля-16700</t>
  </si>
  <si>
    <t>Итого за смену</t>
  </si>
  <si>
    <t>Ставка диджея</t>
  </si>
  <si>
    <t>М69 Марина-5850</t>
  </si>
  <si>
    <t>СБ Женя Егоров-350</t>
  </si>
  <si>
    <t>Уборщица</t>
  </si>
  <si>
    <t>А17 Юля-14850</t>
  </si>
  <si>
    <t>СБ Дима Песков-350</t>
  </si>
  <si>
    <t>Стилист/визажист</t>
  </si>
  <si>
    <t>СБ Женя Егоров-2950</t>
  </si>
  <si>
    <t>СБ Денис Ермаков-300</t>
  </si>
  <si>
    <t>% таксистам</t>
  </si>
  <si>
    <t>СБ Дима Песков-2900</t>
  </si>
  <si>
    <t>Стилист Зарема-500</t>
  </si>
  <si>
    <t>цена</t>
  </si>
  <si>
    <t>кол-во</t>
  </si>
  <si>
    <t>сумма</t>
  </si>
  <si>
    <t>Прочие расходы</t>
  </si>
  <si>
    <t>СБ Денис Ермаков-3000</t>
  </si>
  <si>
    <t>Визажист Оксана-500</t>
  </si>
  <si>
    <t>Бесплатно</t>
  </si>
  <si>
    <t>5% Р9</t>
  </si>
  <si>
    <t>Р1 Дима-2500</t>
  </si>
  <si>
    <t>Р1 Дима-13000</t>
  </si>
  <si>
    <t xml:space="preserve">5% со столов </t>
  </si>
  <si>
    <t>Р15 Гриша-1000</t>
  </si>
  <si>
    <t>Р9 Рома-5000</t>
  </si>
  <si>
    <t>5% промоутеров</t>
  </si>
  <si>
    <t>Р17 Ильяз-3500</t>
  </si>
  <si>
    <t>Р10 Дима-1000</t>
  </si>
  <si>
    <t>% Жени</t>
  </si>
  <si>
    <t>ИТОГО: 169750</t>
  </si>
  <si>
    <t>Р15 Гриша-10000</t>
  </si>
  <si>
    <t>Ставка ЛМ</t>
  </si>
  <si>
    <t>Р17 Ильяз-20500</t>
  </si>
  <si>
    <t>5% ЛМ</t>
  </si>
  <si>
    <t>Р29 Сергей-1000</t>
  </si>
  <si>
    <t>Итого</t>
  </si>
  <si>
    <t>%Р1-2750</t>
  </si>
  <si>
    <t>%Р15-3250</t>
  </si>
  <si>
    <t>ИТОГО:</t>
  </si>
  <si>
    <t>Инкассация</t>
  </si>
  <si>
    <t>%Р9-300</t>
  </si>
  <si>
    <t>курс</t>
  </si>
  <si>
    <t>%Р17-5100</t>
  </si>
  <si>
    <t>Наличные</t>
  </si>
  <si>
    <t>Рубль</t>
  </si>
  <si>
    <t>ИТОГО: 135900</t>
  </si>
  <si>
    <t>Сбербанк</t>
  </si>
  <si>
    <t>Доллар</t>
  </si>
  <si>
    <t>СБП Сбербанк</t>
  </si>
  <si>
    <t>Евро</t>
  </si>
  <si>
    <t>Банк Тинькофф</t>
  </si>
  <si>
    <t>СБП Тинькофф</t>
  </si>
  <si>
    <t>ИТОГО КАССА:</t>
  </si>
  <si>
    <t xml:space="preserve"> Итого</t>
  </si>
  <si>
    <t>статистика персонала</t>
  </si>
  <si>
    <t xml:space="preserve"> </t>
  </si>
  <si>
    <t>итого</t>
  </si>
  <si>
    <t>Танцовщица</t>
  </si>
  <si>
    <t>Долг нал общ</t>
  </si>
  <si>
    <t>Доход</t>
  </si>
  <si>
    <t>Расход</t>
  </si>
  <si>
    <t>Чистая прибыль</t>
  </si>
  <si>
    <t>Официанты</t>
  </si>
  <si>
    <t>Долг БН</t>
  </si>
  <si>
    <t>Хостес</t>
  </si>
  <si>
    <t>Б/Н</t>
  </si>
  <si>
    <t xml:space="preserve">   </t>
  </si>
  <si>
    <t>№</t>
  </si>
  <si>
    <t>ФАМИЛИЯ</t>
  </si>
  <si>
    <t>СТАВКА</t>
  </si>
  <si>
    <t>ПРОМО</t>
  </si>
  <si>
    <t>CRAZY MENU</t>
  </si>
  <si>
    <t>ЧАЕВЫЕ</t>
  </si>
  <si>
    <t>ШТРАФЫ</t>
  </si>
  <si>
    <t>ИТОГО выплат по смене</t>
  </si>
  <si>
    <t>ДОЛГ</t>
  </si>
  <si>
    <t>ДОЛГ НАЛ</t>
  </si>
  <si>
    <t>к выплате</t>
  </si>
  <si>
    <t>Танцовщицы</t>
  </si>
  <si>
    <t>Д</t>
  </si>
  <si>
    <t>Даша</t>
  </si>
  <si>
    <t>Софья</t>
  </si>
  <si>
    <t>Лилит</t>
  </si>
  <si>
    <t>Дана</t>
  </si>
  <si>
    <t>Аннет</t>
  </si>
  <si>
    <t>Банни</t>
  </si>
  <si>
    <t>Алиса</t>
  </si>
  <si>
    <t>Патигерл</t>
  </si>
  <si>
    <t>Г</t>
  </si>
  <si>
    <t>Оф</t>
  </si>
  <si>
    <t>Каталина</t>
  </si>
  <si>
    <t>Ника</t>
  </si>
  <si>
    <t>Н</t>
  </si>
  <si>
    <t>Влада</t>
  </si>
  <si>
    <t>Тати</t>
  </si>
  <si>
    <t>Стажеры</t>
  </si>
  <si>
    <t>Р</t>
  </si>
  <si>
    <t>Дима</t>
  </si>
  <si>
    <t>Ильяз</t>
  </si>
  <si>
    <t>Гриша</t>
  </si>
  <si>
    <t>Б</t>
  </si>
  <si>
    <t>Камила</t>
  </si>
  <si>
    <t>Даня</t>
  </si>
  <si>
    <t>К</t>
  </si>
  <si>
    <t>Маратик</t>
  </si>
  <si>
    <t>Dj</t>
  </si>
  <si>
    <t>Сергей</t>
  </si>
  <si>
    <t>М</t>
  </si>
  <si>
    <t>Марина</t>
  </si>
  <si>
    <t>А</t>
  </si>
  <si>
    <t>Юля</t>
  </si>
  <si>
    <t>Лм</t>
  </si>
  <si>
    <t>СБ</t>
  </si>
  <si>
    <t>Женя Егоров</t>
  </si>
  <si>
    <t>(вход-1350-бн)</t>
  </si>
  <si>
    <t>Дима Песков</t>
  </si>
  <si>
    <t>(вход-1300 бн)</t>
  </si>
  <si>
    <t>Денис Ермаков</t>
  </si>
  <si>
    <t>(вход-1350 бн)</t>
  </si>
  <si>
    <t>уборщица</t>
  </si>
  <si>
    <t>ИТОГО</t>
  </si>
  <si>
    <t>промоутеры</t>
  </si>
  <si>
    <t>такси вход</t>
  </si>
  <si>
    <t>прочие расходы</t>
  </si>
  <si>
    <t>5 % промоутера Р9</t>
  </si>
  <si>
    <t>стилисты/визажисты</t>
  </si>
  <si>
    <t>5 % промоутеров</t>
  </si>
  <si>
    <t>инкассация:</t>
  </si>
  <si>
    <t>НАЛ:</t>
  </si>
  <si>
    <t xml:space="preserve">ДАТА </t>
  </si>
  <si>
    <t xml:space="preserve">АДМИНИСТРАТОР </t>
  </si>
  <si>
    <t>СУММА CRAZY</t>
  </si>
  <si>
    <t>ПОЗИЦИИ ПО CRAZY</t>
  </si>
  <si>
    <t>СУММА КОНСУМАЦИИ</t>
  </si>
  <si>
    <t>ПОЗИЦИИ ПО КОНСУМАЦИИ</t>
  </si>
  <si>
    <t>л26</t>
  </si>
  <si>
    <t>л27</t>
  </si>
  <si>
    <t>л28</t>
  </si>
  <si>
    <t>Л26</t>
  </si>
  <si>
    <t>со4</t>
  </si>
  <si>
    <t>ЛАЙФ-60%</t>
  </si>
  <si>
    <t>Л27</t>
  </si>
  <si>
    <t>Л28</t>
  </si>
  <si>
    <t>л25</t>
  </si>
  <si>
    <t>л33</t>
  </si>
  <si>
    <t>л34</t>
  </si>
  <si>
    <t>в4</t>
  </si>
  <si>
    <t>со1</t>
  </si>
  <si>
    <t>к1</t>
  </si>
  <si>
    <t>т</t>
  </si>
  <si>
    <t>к2</t>
  </si>
  <si>
    <t>CARTEL</t>
  </si>
  <si>
    <t xml:space="preserve">ДАТА: </t>
  </si>
  <si>
    <t xml:space="preserve">АДМИНИСТРАТОР: </t>
  </si>
  <si>
    <t>ВЕДОМОСТЬ ПО ОБЩЕМУ ЧАЮ</t>
  </si>
  <si>
    <t>Итого:</t>
  </si>
  <si>
    <t>CLUB</t>
  </si>
  <si>
    <t>ИТОГО ПО ТАНЦОВЩИЦАМ:</t>
  </si>
  <si>
    <t>ИТОГО ПО ПЕРСОНАЛУ:</t>
  </si>
  <si>
    <t>ИТОГО ОБЩЕЕ:</t>
  </si>
  <si>
    <t>ВЕДОМОСТЬ ПО ШТРАФАМ</t>
  </si>
  <si>
    <t>ДАТА:</t>
  </si>
  <si>
    <t>ФИО и ДОЛЖНОСТЬ</t>
  </si>
  <si>
    <t>ПРИЧИНА ШТРАФА</t>
  </si>
  <si>
    <t>СУММА</t>
  </si>
  <si>
    <t>ПОДПИСЬ ОШТРАФОВАННОГО</t>
  </si>
  <si>
    <t xml:space="preserve">ИТОГО: </t>
  </si>
  <si>
    <t xml:space="preserve">Подпись АДМИНИСТРАТОРА: </t>
  </si>
  <si>
    <r>
      <rPr>
        <b/>
        <sz val="16"/>
        <color rgb="FFFF0000"/>
        <rFont val="Calibri"/>
      </rPr>
      <t xml:space="preserve">  Дата: </t>
    </r>
    <r>
      <rPr>
        <sz val="16"/>
        <color rgb="FFFF0000"/>
        <rFont val="Calibri"/>
      </rPr>
      <t xml:space="preserve">  01.11                         </t>
    </r>
    <r>
      <rPr>
        <b/>
        <sz val="16"/>
        <color rgb="FFFF0000"/>
        <rFont val="Calibri"/>
      </rPr>
      <t xml:space="preserve">Админ: </t>
    </r>
  </si>
  <si>
    <t>Имя</t>
  </si>
  <si>
    <t>Ставка</t>
  </si>
  <si>
    <t>Гостей за смену</t>
  </si>
  <si>
    <t>Сумма общая</t>
  </si>
  <si>
    <t>Штраф</t>
  </si>
  <si>
    <t>К выплате</t>
  </si>
  <si>
    <t>Остаток</t>
  </si>
  <si>
    <t>Р1</t>
  </si>
  <si>
    <t>Р9</t>
  </si>
  <si>
    <t>Рома</t>
  </si>
  <si>
    <t>Р10</t>
  </si>
  <si>
    <t>Р15</t>
  </si>
  <si>
    <t>Р17</t>
  </si>
  <si>
    <t>Р29</t>
  </si>
  <si>
    <t xml:space="preserve">            </t>
  </si>
  <si>
    <t>Дата:</t>
  </si>
  <si>
    <t>Управляющий:</t>
  </si>
  <si>
    <t>Ведомость Консумационных Карт</t>
  </si>
  <si>
    <t>№ Карты</t>
  </si>
  <si>
    <t>Сумма Общего Чека</t>
  </si>
  <si>
    <t>Кол-во Человек</t>
  </si>
  <si>
    <t>Примечание:</t>
  </si>
  <si>
    <t>подпись</t>
  </si>
  <si>
    <t>ДАТА: 01.11</t>
  </si>
  <si>
    <t>АДМИНИСТРАТОР: А17</t>
  </si>
  <si>
    <t>ИТОГО           К ВЫПЛАТЕ</t>
  </si>
  <si>
    <t>ПОДПИСЬ РАБОТНИКА</t>
  </si>
  <si>
    <t>Д3</t>
  </si>
  <si>
    <t>Д5</t>
  </si>
  <si>
    <t>Д9</t>
  </si>
  <si>
    <t>Д11</t>
  </si>
  <si>
    <t>Д18</t>
  </si>
  <si>
    <t>Д21</t>
  </si>
  <si>
    <t>Д66</t>
  </si>
  <si>
    <t>Д6</t>
  </si>
  <si>
    <t>Саманта</t>
  </si>
  <si>
    <t>Оф3</t>
  </si>
  <si>
    <t>Оф4</t>
  </si>
  <si>
    <t>Н3</t>
  </si>
  <si>
    <t>Н4</t>
  </si>
  <si>
    <t>Б4</t>
  </si>
  <si>
    <t>Б52</t>
  </si>
  <si>
    <t>К21</t>
  </si>
  <si>
    <t>Дж14</t>
  </si>
  <si>
    <t>М69</t>
  </si>
  <si>
    <t>А17</t>
  </si>
  <si>
    <t>Подпись АДМИНИСТРАТОРА: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</si>
</sst>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&quot;р.&quot;"/>
    <numFmt numFmtId="165" formatCode="dd/mm/yy;@"/>
    <numFmt numFmtId="166" formatCode="#\ ##0.00\ &quot;₽&quot;"/>
  </numFmts>
  <fonts count="42">
    <font>
      <sz val="10"/>
      <name val="Arial"/>
      <charset val="134"/>
    </font>
    <font>
      <sz val="10"/>
      <name val="Arial"/>
      <charset val="204"/>
    </font>
    <font>
      <b/>
      <sz val="10"/>
      <name val="Arial"/>
      <charset val="204"/>
    </font>
    <font>
      <b/>
      <sz val="8"/>
      <name val="Arial"/>
      <charset val="204"/>
    </font>
    <font>
      <b/>
      <sz val="12"/>
      <name val="Arial"/>
      <charset val="204"/>
    </font>
    <font>
      <b/>
      <sz val="11"/>
      <name val="Arial"/>
      <charset val="204"/>
    </font>
    <font>
      <sz val="12"/>
      <name val="Arial"/>
      <charset val="204"/>
    </font>
    <font>
      <sz val="10"/>
      <color indexed="22"/>
      <name val="Arial"/>
      <charset val="204"/>
    </font>
    <font>
      <sz val="16"/>
      <color rgb="FFFF0000"/>
      <name val="Calibri"/>
      <charset val="204"/>
      <scheme val="minor"/>
    </font>
    <font>
      <sz val="14"/>
      <color theme="1"/>
      <name val="Calibri"/>
      <charset val="204"/>
      <scheme val="minor"/>
    </font>
    <font>
      <b/>
      <sz val="16"/>
      <color theme="1"/>
      <name val="Calibri"/>
      <charset val="204"/>
      <scheme val="minor"/>
    </font>
    <font>
      <b/>
      <sz val="16"/>
      <name val="Calibri"/>
      <charset val="204"/>
    </font>
    <font>
      <b/>
      <sz val="14"/>
      <name val="Calibri"/>
      <charset val="204"/>
      <scheme val="minor"/>
    </font>
    <font>
      <b/>
      <sz val="16"/>
      <name val="Calibri"/>
      <charset val="204"/>
      <scheme val="minor"/>
    </font>
    <font>
      <b/>
      <sz val="16"/>
      <name val="Arial"/>
      <charset val="204"/>
    </font>
    <font>
      <b/>
      <sz val="14"/>
      <color theme="1"/>
      <name val="Calibri"/>
      <charset val="204"/>
      <scheme val="minor"/>
    </font>
    <font>
      <sz val="11"/>
      <name val="Arial"/>
      <charset val="204"/>
    </font>
    <font>
      <sz val="14"/>
      <name val="Arial"/>
      <charset val="204"/>
    </font>
    <font>
      <i/>
      <sz val="14"/>
      <name val="Arial"/>
      <charset val="204"/>
    </font>
    <font>
      <b/>
      <i/>
      <sz val="14"/>
      <name val="Arial"/>
      <charset val="204"/>
    </font>
    <font>
      <i/>
      <sz val="12"/>
      <name val="Arial"/>
      <charset val="204"/>
    </font>
    <font>
      <b/>
      <sz val="14"/>
      <name val="Arial"/>
      <charset val="204"/>
    </font>
    <font>
      <b/>
      <sz val="14"/>
      <color rgb="FF000000"/>
      <name val="Arial"/>
      <charset val="204"/>
    </font>
    <font>
      <sz val="12"/>
      <color rgb="FF000000"/>
      <name val="Arial"/>
      <charset val="134"/>
    </font>
    <font>
      <sz val="14"/>
      <color rgb="FF000000"/>
      <name val="Arial"/>
      <charset val="204"/>
    </font>
    <font>
      <sz val="12"/>
      <name val="Arial"/>
      <charset val="134"/>
    </font>
    <font>
      <b/>
      <sz val="12"/>
      <name val="Arial"/>
      <charset val="134"/>
    </font>
    <font>
      <b/>
      <sz val="14"/>
      <name val="Arial"/>
      <charset val="134"/>
    </font>
    <font>
      <sz val="12"/>
      <color rgb="FFFF0000"/>
      <name val="Arial"/>
      <charset val="134"/>
    </font>
    <font>
      <sz val="12"/>
      <color theme="1"/>
      <name val="Arial"/>
      <charset val="134"/>
    </font>
    <font>
      <b/>
      <sz val="9"/>
      <name val="Arial"/>
      <charset val="204"/>
    </font>
    <font>
      <b/>
      <i/>
      <sz val="12"/>
      <name val="Arial"/>
      <charset val="20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204"/>
      <scheme val="minor"/>
    </font>
    <font>
      <sz val="10"/>
      <color theme="1"/>
      <name val="Calibri"/>
      <charset val="134"/>
      <scheme val="minor"/>
    </font>
    <font>
      <sz val="16"/>
      <name val="Arial"/>
      <charset val="204"/>
    </font>
    <font>
      <sz val="10"/>
      <color theme="1"/>
      <name val="Arial"/>
      <charset val="204"/>
    </font>
    <font>
      <b/>
      <sz val="9"/>
      <name val="Tahoma"/>
      <charset val="204"/>
    </font>
    <font>
      <sz val="9"/>
      <name val="Tahoma"/>
      <charset val="204"/>
    </font>
    <font>
      <b/>
      <sz val="16"/>
      <color rgb="FFFF0000"/>
      <name val="Calibri"/>
    </font>
    <font>
      <sz val="16"/>
      <color rgb="FFFF0000"/>
      <name val="Calibri"/>
    </font>
    <font>
      <sz val="8"/>
      <name val="Arial"/>
      <charset val="134"/>
    </font>
  </fonts>
  <fills count="2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2" tint="-9.9978637043366805E-2"/>
        <bgColor theme="1"/>
      </patternFill>
    </fill>
    <fill>
      <patternFill patternType="solid">
        <fgColor theme="2" tint="-0.499984740745262"/>
        <bgColor theme="1"/>
      </patternFill>
    </fill>
    <fill>
      <patternFill patternType="solid">
        <fgColor theme="0"/>
        <bgColor theme="9" tint="0.79995117038483843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1"/>
      </left>
      <right/>
      <top style="medium">
        <color auto="1"/>
      </top>
      <bottom style="medium">
        <color theme="1"/>
      </bottom>
      <diagonal/>
    </border>
    <border>
      <left/>
      <right/>
      <top style="medium">
        <color auto="1"/>
      </top>
      <bottom style="medium">
        <color theme="1"/>
      </bottom>
      <diagonal/>
    </border>
    <border>
      <left/>
      <right style="medium">
        <color theme="1"/>
      </right>
      <top style="medium">
        <color auto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0" tint="-0.1499374370555742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theme="2" tint="-0.89992980742820516"/>
      </left>
      <right style="medium">
        <color theme="2" tint="-0.89989928891872917"/>
      </right>
      <top style="thin">
        <color theme="2" tint="-0.89992980742820516"/>
      </top>
      <bottom style="thin">
        <color theme="2" tint="-0.89992980742820516"/>
      </bottom>
      <diagonal/>
    </border>
    <border>
      <left style="thin">
        <color theme="2" tint="-0.89992980742820516"/>
      </left>
      <right style="medium">
        <color theme="2" tint="-0.89989928891872917"/>
      </right>
      <top style="thin">
        <color theme="2" tint="-0.89989928891872917"/>
      </top>
      <bottom style="thin">
        <color theme="2" tint="-0.8999298074282051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 tint="-0.89992980742820516"/>
      </left>
      <right/>
      <top style="thin">
        <color theme="2" tint="-0.89992980742820516"/>
      </top>
      <bottom style="thin">
        <color theme="2" tint="-0.89992980742820516"/>
      </bottom>
      <diagonal/>
    </border>
    <border>
      <left style="thin">
        <color theme="2" tint="-0.89992980742820516"/>
      </left>
      <right style="medium">
        <color theme="2" tint="-0.89989928891872917"/>
      </right>
      <top/>
      <bottom style="thin">
        <color theme="2" tint="-0.89992980742820516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605">
    <xf numFmtId="0" fontId="0" fillId="0" borderId="0" xfId="0"/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9" fontId="2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9" xfId="0" applyFont="1" applyBorder="1"/>
    <xf numFmtId="0" fontId="1" fillId="0" borderId="10" xfId="0" applyFont="1" applyBorder="1"/>
    <xf numFmtId="0" fontId="4" fillId="0" borderId="6" xfId="0" applyFont="1" applyBorder="1"/>
    <xf numFmtId="0" fontId="0" fillId="0" borderId="12" xfId="0" applyBorder="1" applyAlignment="1">
      <alignment horizontal="center" vertical="top"/>
    </xf>
    <xf numFmtId="0" fontId="4" fillId="0" borderId="4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2" fillId="0" borderId="13" xfId="0" applyFont="1" applyBorder="1"/>
    <xf numFmtId="0" fontId="0" fillId="0" borderId="14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0" xfId="0" applyAlignment="1">
      <alignment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top"/>
    </xf>
    <xf numFmtId="0" fontId="0" fillId="5" borderId="17" xfId="0" applyFill="1" applyBorder="1" applyAlignment="1">
      <alignment horizontal="center" vertical="top"/>
    </xf>
    <xf numFmtId="0" fontId="0" fillId="3" borderId="18" xfId="0" applyFill="1" applyBorder="1" applyAlignment="1">
      <alignment horizontal="center" vertical="top"/>
    </xf>
    <xf numFmtId="0" fontId="1" fillId="0" borderId="19" xfId="0" applyFont="1" applyBorder="1"/>
    <xf numFmtId="0" fontId="0" fillId="5" borderId="4" xfId="0" applyFill="1" applyBorder="1" applyAlignment="1">
      <alignment horizontal="center" vertical="top"/>
    </xf>
    <xf numFmtId="0" fontId="0" fillId="3" borderId="12" xfId="0" applyFill="1" applyBorder="1" applyAlignment="1">
      <alignment horizontal="center" vertical="top"/>
    </xf>
    <xf numFmtId="0" fontId="0" fillId="5" borderId="8" xfId="0" applyFill="1" applyBorder="1" applyAlignment="1">
      <alignment horizontal="center" vertical="top"/>
    </xf>
    <xf numFmtId="0" fontId="0" fillId="3" borderId="20" xfId="0" applyFill="1" applyBorder="1" applyAlignment="1">
      <alignment horizontal="center" vertical="top"/>
    </xf>
    <xf numFmtId="0" fontId="1" fillId="0" borderId="21" xfId="0" applyFont="1" applyBorder="1"/>
    <xf numFmtId="0" fontId="0" fillId="3" borderId="4" xfId="0" applyFill="1" applyBorder="1" applyAlignment="1">
      <alignment horizontal="center" vertical="top"/>
    </xf>
    <xf numFmtId="0" fontId="0" fillId="3" borderId="8" xfId="0" applyFill="1" applyBorder="1" applyAlignment="1">
      <alignment horizontal="center" vertical="top"/>
    </xf>
    <xf numFmtId="0" fontId="0" fillId="0" borderId="4" xfId="0" applyBorder="1"/>
    <xf numFmtId="0" fontId="4" fillId="0" borderId="0" xfId="0" applyFont="1"/>
    <xf numFmtId="0" fontId="0" fillId="0" borderId="0" xfId="0" applyAlignment="1">
      <alignment horizontal="left"/>
    </xf>
    <xf numFmtId="0" fontId="0" fillId="0" borderId="15" xfId="0" applyBorder="1"/>
    <xf numFmtId="0" fontId="0" fillId="0" borderId="2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9" fillId="0" borderId="17" xfId="0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1" fillId="0" borderId="10" xfId="0" applyFont="1" applyBorder="1"/>
    <xf numFmtId="0" fontId="11" fillId="0" borderId="22" xfId="0" applyFont="1" applyBorder="1"/>
    <xf numFmtId="0" fontId="11" fillId="0" borderId="22" xfId="0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2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33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6" borderId="0" xfId="0" applyFont="1" applyFill="1" applyAlignment="1">
      <alignment horizontal="center" vertical="center"/>
    </xf>
    <xf numFmtId="0" fontId="5" fillId="0" borderId="39" xfId="0" applyFont="1" applyBorder="1" applyAlignment="1" applyProtection="1">
      <alignment vertical="center"/>
      <protection locked="0" hidden="1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/>
    </xf>
    <xf numFmtId="0" fontId="18" fillId="0" borderId="29" xfId="0" applyFont="1" applyBorder="1" applyAlignment="1">
      <alignment horizontal="center" wrapText="1"/>
    </xf>
    <xf numFmtId="0" fontId="18" fillId="0" borderId="41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0" fillId="0" borderId="43" xfId="0" applyBorder="1"/>
    <xf numFmtId="0" fontId="20" fillId="0" borderId="22" xfId="0" applyFont="1" applyBorder="1" applyAlignment="1">
      <alignment vertical="center" wrapText="1"/>
    </xf>
    <xf numFmtId="0" fontId="20" fillId="0" borderId="31" xfId="0" applyFont="1" applyBorder="1"/>
    <xf numFmtId="0" fontId="19" fillId="0" borderId="44" xfId="0" applyFont="1" applyBorder="1" applyAlignment="1">
      <alignment horizontal="center"/>
    </xf>
    <xf numFmtId="0" fontId="0" fillId="0" borderId="36" xfId="0" applyBorder="1"/>
    <xf numFmtId="0" fontId="4" fillId="0" borderId="32" xfId="0" applyFont="1" applyBorder="1"/>
    <xf numFmtId="0" fontId="20" fillId="0" borderId="33" xfId="0" applyFont="1" applyBorder="1" applyAlignment="1">
      <alignment vertical="center" wrapText="1"/>
    </xf>
    <xf numFmtId="0" fontId="19" fillId="0" borderId="45" xfId="0" applyFont="1" applyBorder="1" applyAlignment="1">
      <alignment horizontal="center"/>
    </xf>
    <xf numFmtId="0" fontId="0" fillId="0" borderId="37" xfId="0" applyBorder="1"/>
    <xf numFmtId="0" fontId="19" fillId="2" borderId="17" xfId="0" applyFont="1" applyFill="1" applyBorder="1" applyAlignment="1">
      <alignment horizontal="center" vertical="top"/>
    </xf>
    <xf numFmtId="0" fontId="19" fillId="2" borderId="8" xfId="0" applyFont="1" applyFill="1" applyBorder="1" applyAlignment="1">
      <alignment horizontal="center" vertical="top"/>
    </xf>
    <xf numFmtId="0" fontId="0" fillId="6" borderId="0" xfId="0" applyFill="1" applyAlignment="1">
      <alignment horizontal="center" vertical="center"/>
    </xf>
    <xf numFmtId="0" fontId="16" fillId="0" borderId="0" xfId="0" applyFont="1"/>
    <xf numFmtId="0" fontId="21" fillId="0" borderId="0" xfId="0" applyFont="1"/>
    <xf numFmtId="0" fontId="5" fillId="8" borderId="0" xfId="0" applyFont="1" applyFill="1"/>
    <xf numFmtId="0" fontId="5" fillId="6" borderId="0" xfId="0" applyFont="1" applyFill="1"/>
    <xf numFmtId="0" fontId="22" fillId="0" borderId="0" xfId="0" applyFont="1"/>
    <xf numFmtId="0" fontId="6" fillId="0" borderId="0" xfId="1" applyFont="1"/>
    <xf numFmtId="0" fontId="4" fillId="0" borderId="0" xfId="1" applyFont="1"/>
    <xf numFmtId="0" fontId="25" fillId="8" borderId="0" xfId="1" applyFont="1" applyFill="1"/>
    <xf numFmtId="0" fontId="25" fillId="0" borderId="0" xfId="1" applyFont="1"/>
    <xf numFmtId="0" fontId="26" fillId="0" borderId="0" xfId="1" applyFont="1" applyAlignment="1">
      <alignment horizontal="center" vertical="center"/>
    </xf>
    <xf numFmtId="0" fontId="26" fillId="0" borderId="0" xfId="1" applyFont="1"/>
    <xf numFmtId="0" fontId="26" fillId="0" borderId="0" xfId="1" applyFont="1" applyAlignment="1">
      <alignment vertical="center"/>
    </xf>
    <xf numFmtId="0" fontId="26" fillId="0" borderId="25" xfId="1" applyFont="1" applyBorder="1" applyAlignment="1">
      <alignment vertical="center"/>
    </xf>
    <xf numFmtId="0" fontId="26" fillId="0" borderId="20" xfId="1" applyFont="1" applyBorder="1" applyAlignment="1">
      <alignment wrapText="1"/>
    </xf>
    <xf numFmtId="0" fontId="25" fillId="3" borderId="54" xfId="1" applyFont="1" applyFill="1" applyBorder="1"/>
    <xf numFmtId="0" fontId="25" fillId="3" borderId="29" xfId="1" applyFont="1" applyFill="1" applyBorder="1"/>
    <xf numFmtId="0" fontId="25" fillId="0" borderId="29" xfId="1" applyFont="1" applyBorder="1"/>
    <xf numFmtId="0" fontId="25" fillId="3" borderId="55" xfId="1" applyFont="1" applyFill="1" applyBorder="1"/>
    <xf numFmtId="0" fontId="25" fillId="3" borderId="33" xfId="1" applyFont="1" applyFill="1" applyBorder="1"/>
    <xf numFmtId="0" fontId="25" fillId="0" borderId="33" xfId="1" applyFont="1" applyBorder="1"/>
    <xf numFmtId="0" fontId="28" fillId="3" borderId="55" xfId="1" applyFont="1" applyFill="1" applyBorder="1"/>
    <xf numFmtId="0" fontId="28" fillId="3" borderId="33" xfId="1" applyFont="1" applyFill="1" applyBorder="1"/>
    <xf numFmtId="0" fontId="25" fillId="0" borderId="55" xfId="1" applyFont="1" applyBorder="1"/>
    <xf numFmtId="0" fontId="25" fillId="0" borderId="54" xfId="1" applyFont="1" applyBorder="1"/>
    <xf numFmtId="0" fontId="29" fillId="3" borderId="54" xfId="1" applyFont="1" applyFill="1" applyBorder="1"/>
    <xf numFmtId="0" fontId="4" fillId="8" borderId="56" xfId="1" applyFont="1" applyFill="1" applyBorder="1" applyAlignment="1">
      <alignment horizontal="center"/>
    </xf>
    <xf numFmtId="0" fontId="26" fillId="0" borderId="50" xfId="1" applyFont="1" applyBorder="1" applyAlignment="1">
      <alignment wrapText="1"/>
    </xf>
    <xf numFmtId="0" fontId="4" fillId="0" borderId="50" xfId="1" applyFont="1" applyBorder="1" applyAlignment="1">
      <alignment wrapText="1"/>
    </xf>
    <xf numFmtId="0" fontId="25" fillId="0" borderId="41" xfId="1" applyFont="1" applyBorder="1"/>
    <xf numFmtId="0" fontId="25" fillId="0" borderId="57" xfId="1" applyFont="1" applyBorder="1"/>
    <xf numFmtId="0" fontId="25" fillId="3" borderId="40" xfId="1" applyFont="1" applyFill="1" applyBorder="1"/>
    <xf numFmtId="0" fontId="25" fillId="3" borderId="32" xfId="1" applyFont="1" applyFill="1" applyBorder="1"/>
    <xf numFmtId="0" fontId="25" fillId="0" borderId="60" xfId="1" applyFont="1" applyBorder="1"/>
    <xf numFmtId="0" fontId="25" fillId="0" borderId="61" xfId="1" applyFont="1" applyBorder="1"/>
    <xf numFmtId="0" fontId="25" fillId="8" borderId="56" xfId="1" applyFont="1" applyFill="1" applyBorder="1" applyAlignment="1">
      <alignment horizontal="center"/>
    </xf>
    <xf numFmtId="0" fontId="28" fillId="0" borderId="55" xfId="1" applyFont="1" applyBorder="1"/>
    <xf numFmtId="0" fontId="25" fillId="3" borderId="33" xfId="1" applyFont="1" applyFill="1" applyBorder="1" applyAlignment="1">
      <alignment horizontal="center"/>
    </xf>
    <xf numFmtId="0" fontId="26" fillId="0" borderId="24" xfId="1" applyFont="1" applyBorder="1"/>
    <xf numFmtId="0" fontId="2" fillId="0" borderId="14" xfId="0" applyFont="1" applyBorder="1"/>
    <xf numFmtId="0" fontId="2" fillId="0" borderId="16" xfId="0" applyFont="1" applyBorder="1" applyAlignment="1">
      <alignment horizontal="center"/>
    </xf>
    <xf numFmtId="0" fontId="0" fillId="0" borderId="11" xfId="0" applyBorder="1" applyAlignment="1">
      <alignment horizontal="center" vertical="top"/>
    </xf>
    <xf numFmtId="0" fontId="2" fillId="0" borderId="16" xfId="0" applyFont="1" applyBorder="1"/>
    <xf numFmtId="0" fontId="1" fillId="0" borderId="7" xfId="0" applyFont="1" applyBorder="1" applyAlignment="1">
      <alignment horizontal="center" vertical="top"/>
    </xf>
    <xf numFmtId="0" fontId="1" fillId="0" borderId="25" xfId="0" applyFont="1" applyBorder="1"/>
    <xf numFmtId="0" fontId="2" fillId="0" borderId="26" xfId="0" applyFont="1" applyBorder="1"/>
    <xf numFmtId="0" fontId="2" fillId="0" borderId="34" xfId="0" applyFont="1" applyBorder="1"/>
    <xf numFmtId="0" fontId="1" fillId="0" borderId="40" xfId="0" applyFont="1" applyBorder="1"/>
    <xf numFmtId="0" fontId="0" fillId="0" borderId="22" xfId="0" applyBorder="1" applyAlignment="1">
      <alignment horizontal="center" vertical="top"/>
    </xf>
    <xf numFmtId="0" fontId="2" fillId="0" borderId="35" xfId="0" applyFont="1" applyBorder="1"/>
    <xf numFmtId="0" fontId="1" fillId="0" borderId="48" xfId="0" applyFont="1" applyBorder="1"/>
    <xf numFmtId="0" fontId="0" fillId="0" borderId="49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16" fillId="0" borderId="6" xfId="0" applyFont="1" applyBorder="1"/>
    <xf numFmtId="0" fontId="2" fillId="3" borderId="62" xfId="0" applyFont="1" applyFill="1" applyBorder="1" applyAlignment="1">
      <alignment vertical="center"/>
    </xf>
    <xf numFmtId="0" fontId="0" fillId="3" borderId="62" xfId="0" applyFill="1" applyBorder="1"/>
    <xf numFmtId="0" fontId="0" fillId="3" borderId="64" xfId="0" applyFill="1" applyBorder="1" applyAlignment="1">
      <alignment horizontal="center" vertical="top"/>
    </xf>
    <xf numFmtId="0" fontId="3" fillId="3" borderId="62" xfId="0" applyFont="1" applyFill="1" applyBorder="1" applyAlignment="1">
      <alignment horizontal="center" vertical="center" wrapText="1"/>
    </xf>
    <xf numFmtId="0" fontId="0" fillId="3" borderId="66" xfId="0" applyFill="1" applyBorder="1" applyAlignment="1">
      <alignment horizontal="center" vertical="top"/>
    </xf>
    <xf numFmtId="0" fontId="1" fillId="0" borderId="62" xfId="0" applyFont="1" applyBorder="1"/>
    <xf numFmtId="0" fontId="1" fillId="0" borderId="56" xfId="0" applyFont="1" applyBorder="1"/>
    <xf numFmtId="0" fontId="0" fillId="3" borderId="67" xfId="0" applyFill="1" applyBorder="1" applyAlignment="1">
      <alignment horizontal="center" vertical="top"/>
    </xf>
    <xf numFmtId="0" fontId="0" fillId="3" borderId="11" xfId="0" applyFill="1" applyBorder="1" applyAlignment="1">
      <alignment horizontal="center" vertical="top"/>
    </xf>
    <xf numFmtId="0" fontId="0" fillId="0" borderId="56" xfId="0" applyBorder="1"/>
    <xf numFmtId="0" fontId="0" fillId="3" borderId="49" xfId="0" applyFill="1" applyBorder="1" applyAlignment="1">
      <alignment horizontal="center" vertical="top"/>
    </xf>
    <xf numFmtId="0" fontId="0" fillId="3" borderId="69" xfId="0" applyFill="1" applyBorder="1" applyAlignment="1">
      <alignment horizontal="center" vertical="top"/>
    </xf>
    <xf numFmtId="0" fontId="0" fillId="0" borderId="7" xfId="0" applyNumberFormat="1" applyBorder="1" applyAlignment="1">
      <alignment horizontal="center" vertical="top"/>
    </xf>
    <xf numFmtId="0" fontId="0" fillId="0" borderId="70" xfId="0" applyBorder="1" applyAlignment="1">
      <alignment vertical="center"/>
    </xf>
    <xf numFmtId="0" fontId="5" fillId="6" borderId="70" xfId="0" applyFont="1" applyFill="1" applyBorder="1" applyAlignment="1">
      <alignment horizontal="center" vertical="center" wrapText="1"/>
    </xf>
    <xf numFmtId="0" fontId="0" fillId="0" borderId="70" xfId="0" applyBorder="1"/>
    <xf numFmtId="0" fontId="1" fillId="0" borderId="70" xfId="0" applyFont="1" applyBorder="1"/>
    <xf numFmtId="0" fontId="2" fillId="3" borderId="14" xfId="0" applyFont="1" applyFill="1" applyBorder="1" applyAlignment="1">
      <alignment horizontal="left"/>
    </xf>
    <xf numFmtId="0" fontId="31" fillId="3" borderId="5" xfId="0" applyFont="1" applyFill="1" applyBorder="1"/>
    <xf numFmtId="0" fontId="2" fillId="3" borderId="16" xfId="0" applyFont="1" applyFill="1" applyBorder="1" applyAlignment="1">
      <alignment horizontal="center"/>
    </xf>
    <xf numFmtId="0" fontId="0" fillId="3" borderId="4" xfId="0" applyNumberFormat="1" applyFill="1" applyBorder="1" applyAlignment="1">
      <alignment horizontal="center" vertical="top"/>
    </xf>
    <xf numFmtId="0" fontId="0" fillId="11" borderId="71" xfId="0" applyFill="1" applyBorder="1"/>
    <xf numFmtId="0" fontId="0" fillId="11" borderId="72" xfId="0" applyFill="1" applyBorder="1"/>
    <xf numFmtId="0" fontId="6" fillId="11" borderId="73" xfId="0" applyFont="1" applyFill="1" applyBorder="1"/>
    <xf numFmtId="0" fontId="0" fillId="11" borderId="74" xfId="0" applyFill="1" applyBorder="1" applyAlignment="1">
      <alignment horizontal="center"/>
    </xf>
    <xf numFmtId="0" fontId="0" fillId="11" borderId="74" xfId="0" applyFill="1" applyBorder="1"/>
    <xf numFmtId="0" fontId="0" fillId="11" borderId="75" xfId="0" applyFill="1" applyBorder="1"/>
    <xf numFmtId="0" fontId="3" fillId="11" borderId="76" xfId="0" applyFont="1" applyFill="1" applyBorder="1" applyAlignment="1">
      <alignment horizontal="center" vertical="center"/>
    </xf>
    <xf numFmtId="0" fontId="3" fillId="11" borderId="77" xfId="0" applyFont="1" applyFill="1" applyBorder="1" applyAlignment="1">
      <alignment horizontal="center" vertical="center"/>
    </xf>
    <xf numFmtId="0" fontId="6" fillId="11" borderId="78" xfId="0" applyFont="1" applyFill="1" applyBorder="1" applyAlignment="1">
      <alignment horizontal="left" vertical="center"/>
    </xf>
    <xf numFmtId="0" fontId="1" fillId="11" borderId="74" xfId="0" applyFont="1" applyFill="1" applyBorder="1" applyAlignment="1">
      <alignment horizontal="center" vertical="center"/>
    </xf>
    <xf numFmtId="0" fontId="3" fillId="11" borderId="75" xfId="0" applyFont="1" applyFill="1" applyBorder="1" applyAlignment="1">
      <alignment horizontal="center" vertical="center"/>
    </xf>
    <xf numFmtId="0" fontId="2" fillId="11" borderId="76" xfId="0" applyFont="1" applyFill="1" applyBorder="1"/>
    <xf numFmtId="0" fontId="2" fillId="11" borderId="77" xfId="0" applyFont="1" applyFill="1" applyBorder="1"/>
    <xf numFmtId="0" fontId="6" fillId="11" borderId="78" xfId="0" applyFont="1" applyFill="1" applyBorder="1"/>
    <xf numFmtId="0" fontId="0" fillId="11" borderId="74" xfId="0" applyFill="1" applyBorder="1" applyAlignment="1">
      <alignment horizontal="center" vertical="top"/>
    </xf>
    <xf numFmtId="0" fontId="0" fillId="11" borderId="75" xfId="0" applyFill="1" applyBorder="1" applyAlignment="1">
      <alignment horizontal="center" vertical="top"/>
    </xf>
    <xf numFmtId="0" fontId="1" fillId="11" borderId="78" xfId="0" applyFont="1" applyFill="1" applyBorder="1"/>
    <xf numFmtId="0" fontId="0" fillId="11" borderId="79" xfId="0" applyFill="1" applyBorder="1" applyAlignment="1">
      <alignment horizontal="center" vertical="top"/>
    </xf>
    <xf numFmtId="0" fontId="0" fillId="11" borderId="80" xfId="0" applyFill="1" applyBorder="1" applyAlignment="1">
      <alignment horizontal="center" vertical="top"/>
    </xf>
    <xf numFmtId="0" fontId="2" fillId="12" borderId="76" xfId="0" applyFont="1" applyFill="1" applyBorder="1"/>
    <xf numFmtId="0" fontId="2" fillId="12" borderId="78" xfId="0" applyFont="1" applyFill="1" applyBorder="1"/>
    <xf numFmtId="0" fontId="2" fillId="13" borderId="81" xfId="0" applyFont="1" applyFill="1" applyBorder="1"/>
    <xf numFmtId="0" fontId="0" fillId="12" borderId="81" xfId="0" applyFill="1" applyBorder="1" applyAlignment="1">
      <alignment horizontal="center" vertical="top"/>
    </xf>
    <xf numFmtId="0" fontId="2" fillId="3" borderId="82" xfId="0" applyFont="1" applyFill="1" applyBorder="1"/>
    <xf numFmtId="0" fontId="1" fillId="3" borderId="82" xfId="0" applyFont="1" applyFill="1" applyBorder="1"/>
    <xf numFmtId="0" fontId="0" fillId="3" borderId="82" xfId="0" applyFill="1" applyBorder="1" applyAlignment="1">
      <alignment horizontal="center" vertical="top"/>
    </xf>
    <xf numFmtId="0" fontId="2" fillId="3" borderId="70" xfId="0" applyFont="1" applyFill="1" applyBorder="1"/>
    <xf numFmtId="0" fontId="1" fillId="3" borderId="70" xfId="0" applyFont="1" applyFill="1" applyBorder="1"/>
    <xf numFmtId="0" fontId="0" fillId="3" borderId="70" xfId="0" applyFill="1" applyBorder="1" applyAlignment="1">
      <alignment horizontal="center" vertical="top"/>
    </xf>
    <xf numFmtId="0" fontId="4" fillId="3" borderId="70" xfId="0" applyFont="1" applyFill="1" applyBorder="1"/>
    <xf numFmtId="0" fontId="0" fillId="3" borderId="83" xfId="0" applyFill="1" applyBorder="1"/>
    <xf numFmtId="0" fontId="4" fillId="3" borderId="83" xfId="0" applyFont="1" applyFill="1" applyBorder="1" applyAlignment="1">
      <alignment horizontal="left"/>
    </xf>
    <xf numFmtId="0" fontId="6" fillId="3" borderId="83" xfId="0" applyFont="1" applyFill="1" applyBorder="1" applyAlignment="1">
      <alignment horizontal="center" vertical="top"/>
    </xf>
    <xf numFmtId="0" fontId="0" fillId="3" borderId="14" xfId="0" applyFill="1" applyBorder="1" applyAlignment="1">
      <alignment horizontal="center" vertical="top"/>
    </xf>
    <xf numFmtId="0" fontId="0" fillId="11" borderId="75" xfId="0" applyFill="1" applyBorder="1" applyAlignment="1">
      <alignment horizontal="center"/>
    </xf>
    <xf numFmtId="0" fontId="0" fillId="12" borderId="86" xfId="0" applyFill="1" applyBorder="1" applyAlignment="1">
      <alignment horizontal="center"/>
    </xf>
    <xf numFmtId="0" fontId="3" fillId="11" borderId="75" xfId="0" applyFont="1" applyFill="1" applyBorder="1" applyAlignment="1">
      <alignment horizontal="center" vertical="center" wrapText="1"/>
    </xf>
    <xf numFmtId="0" fontId="0" fillId="12" borderId="81" xfId="0" applyNumberFormat="1" applyFill="1" applyBorder="1" applyAlignment="1">
      <alignment horizontal="center" vertical="top"/>
    </xf>
    <xf numFmtId="0" fontId="0" fillId="13" borderId="87" xfId="0" applyFill="1" applyBorder="1" applyAlignment="1">
      <alignment horizontal="center" vertical="top"/>
    </xf>
    <xf numFmtId="0" fontId="6" fillId="3" borderId="70" xfId="0" applyFont="1" applyFill="1" applyBorder="1" applyAlignment="1">
      <alignment horizontal="center" vertical="top"/>
    </xf>
    <xf numFmtId="0" fontId="4" fillId="3" borderId="70" xfId="0" applyFont="1" applyFill="1" applyBorder="1" applyAlignment="1">
      <alignment horizontal="center" vertical="top"/>
    </xf>
    <xf numFmtId="0" fontId="0" fillId="3" borderId="70" xfId="0" applyFill="1" applyBorder="1"/>
    <xf numFmtId="0" fontId="0" fillId="0" borderId="89" xfId="0" applyBorder="1"/>
    <xf numFmtId="0" fontId="4" fillId="0" borderId="42" xfId="0" applyFont="1" applyBorder="1"/>
    <xf numFmtId="0" fontId="0" fillId="0" borderId="66" xfId="0" applyBorder="1"/>
    <xf numFmtId="0" fontId="1" fillId="0" borderId="44" xfId="0" applyFont="1" applyBorder="1" applyAlignment="1">
      <alignment horizontal="left"/>
    </xf>
    <xf numFmtId="0" fontId="1" fillId="3" borderId="90" xfId="0" applyFont="1" applyFill="1" applyBorder="1"/>
    <xf numFmtId="0" fontId="1" fillId="14" borderId="90" xfId="0" applyFont="1" applyFill="1" applyBorder="1"/>
    <xf numFmtId="0" fontId="1" fillId="3" borderId="91" xfId="0" applyFont="1" applyFill="1" applyBorder="1"/>
    <xf numFmtId="0" fontId="0" fillId="0" borderId="92" xfId="0" applyBorder="1"/>
    <xf numFmtId="0" fontId="1" fillId="3" borderId="93" xfId="0" applyFont="1" applyFill="1" applyBorder="1"/>
    <xf numFmtId="0" fontId="4" fillId="0" borderId="44" xfId="0" applyFont="1" applyBorder="1" applyAlignment="1">
      <alignment horizontal="left"/>
    </xf>
    <xf numFmtId="166" fontId="0" fillId="0" borderId="66" xfId="0" applyNumberFormat="1" applyBorder="1"/>
    <xf numFmtId="0" fontId="1" fillId="0" borderId="67" xfId="0" applyFont="1" applyBorder="1"/>
    <xf numFmtId="0" fontId="0" fillId="3" borderId="94" xfId="0" applyFill="1" applyBorder="1"/>
    <xf numFmtId="0" fontId="0" fillId="14" borderId="90" xfId="0" applyFill="1" applyBorder="1"/>
    <xf numFmtId="0" fontId="0" fillId="0" borderId="95" xfId="0" applyBorder="1"/>
    <xf numFmtId="0" fontId="0" fillId="0" borderId="7" xfId="0" applyBorder="1"/>
    <xf numFmtId="0" fontId="1" fillId="0" borderId="18" xfId="0" applyFont="1" applyBorder="1"/>
    <xf numFmtId="0" fontId="1" fillId="0" borderId="95" xfId="0" applyFont="1" applyBorder="1"/>
    <xf numFmtId="0" fontId="0" fillId="0" borderId="18" xfId="0" applyBorder="1"/>
    <xf numFmtId="0" fontId="0" fillId="0" borderId="10" xfId="0" applyBorder="1"/>
    <xf numFmtId="0" fontId="0" fillId="0" borderId="22" xfId="0" applyBorder="1"/>
    <xf numFmtId="0" fontId="0" fillId="0" borderId="31" xfId="0" applyBorder="1"/>
    <xf numFmtId="0" fontId="1" fillId="0" borderId="22" xfId="0" applyFont="1" applyBorder="1"/>
    <xf numFmtId="0" fontId="0" fillId="0" borderId="44" xfId="0" applyBorder="1"/>
    <xf numFmtId="0" fontId="15" fillId="0" borderId="32" xfId="0" applyFont="1" applyBorder="1"/>
    <xf numFmtId="0" fontId="0" fillId="0" borderId="33" xfId="0" applyBorder="1"/>
    <xf numFmtId="0" fontId="0" fillId="0" borderId="57" xfId="0" applyBorder="1"/>
    <xf numFmtId="0" fontId="1" fillId="0" borderId="0" xfId="0" applyFont="1" applyAlignment="1">
      <alignment horizontal="left"/>
    </xf>
    <xf numFmtId="0" fontId="0" fillId="0" borderId="4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60" xfId="0" applyBorder="1" applyAlignment="1">
      <alignment horizontal="center"/>
    </xf>
    <xf numFmtId="0" fontId="1" fillId="0" borderId="41" xfId="0" applyFont="1" applyBorder="1" applyAlignment="1">
      <alignment horizontal="right"/>
    </xf>
    <xf numFmtId="0" fontId="1" fillId="0" borderId="42" xfId="0" applyFont="1" applyBorder="1"/>
    <xf numFmtId="0" fontId="0" fillId="0" borderId="96" xfId="0" applyBorder="1"/>
    <xf numFmtId="0" fontId="0" fillId="0" borderId="31" xfId="0" applyBorder="1" applyAlignment="1">
      <alignment horizontal="right"/>
    </xf>
    <xf numFmtId="0" fontId="1" fillId="0" borderId="44" xfId="0" applyFont="1" applyBorder="1"/>
    <xf numFmtId="0" fontId="0" fillId="0" borderId="30" xfId="0" applyBorder="1"/>
    <xf numFmtId="0" fontId="1" fillId="0" borderId="96" xfId="0" applyFont="1" applyBorder="1"/>
    <xf numFmtId="0" fontId="1" fillId="0" borderId="68" xfId="0" applyFont="1" applyBorder="1"/>
    <xf numFmtId="0" fontId="0" fillId="0" borderId="20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9" xfId="0" applyBorder="1"/>
    <xf numFmtId="0" fontId="0" fillId="0" borderId="4" xfId="0" applyBorder="1" applyAlignment="1">
      <alignment horizontal="right"/>
    </xf>
    <xf numFmtId="0" fontId="1" fillId="0" borderId="45" xfId="0" applyFont="1" applyBorder="1"/>
    <xf numFmtId="0" fontId="0" fillId="0" borderId="12" xfId="0" applyBorder="1"/>
    <xf numFmtId="0" fontId="0" fillId="0" borderId="24" xfId="0" applyBorder="1"/>
    <xf numFmtId="0" fontId="1" fillId="0" borderId="1" xfId="0" applyFont="1" applyBorder="1" applyAlignment="1">
      <alignment horizontal="right"/>
    </xf>
    <xf numFmtId="0" fontId="15" fillId="0" borderId="16" xfId="0" applyFont="1" applyBorder="1"/>
    <xf numFmtId="0" fontId="4" fillId="0" borderId="45" xfId="0" applyFont="1" applyBorder="1" applyAlignment="1">
      <alignment horizontal="left"/>
    </xf>
    <xf numFmtId="0" fontId="1" fillId="0" borderId="97" xfId="0" applyFont="1" applyBorder="1"/>
    <xf numFmtId="0" fontId="5" fillId="0" borderId="14" xfId="0" applyFont="1" applyBorder="1" applyAlignment="1">
      <alignment horizontal="center" vertical="center"/>
    </xf>
    <xf numFmtId="0" fontId="1" fillId="0" borderId="96" xfId="0" applyFont="1" applyBorder="1" applyAlignment="1">
      <alignment horizontal="right"/>
    </xf>
    <xf numFmtId="0" fontId="0" fillId="0" borderId="32" xfId="0" applyBorder="1"/>
    <xf numFmtId="0" fontId="5" fillId="0" borderId="64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0" fillId="0" borderId="61" xfId="0" applyBorder="1"/>
    <xf numFmtId="0" fontId="2" fillId="0" borderId="69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99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33" fillId="19" borderId="85" xfId="0" applyFont="1" applyFill="1" applyBorder="1" applyAlignment="1">
      <alignment horizontal="center"/>
    </xf>
    <xf numFmtId="0" fontId="4" fillId="19" borderId="26" xfId="0" applyFont="1" applyFill="1" applyBorder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19" borderId="13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9" fontId="30" fillId="17" borderId="4" xfId="0" applyNumberFormat="1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 wrapText="1"/>
    </xf>
    <xf numFmtId="0" fontId="3" fillId="17" borderId="14" xfId="0" applyFont="1" applyFill="1" applyBorder="1" applyAlignment="1">
      <alignment horizontal="center" vertical="center" wrapText="1"/>
    </xf>
    <xf numFmtId="0" fontId="1" fillId="17" borderId="27" xfId="0" applyFont="1" applyFill="1" applyBorder="1" applyAlignment="1">
      <alignment horizontal="center" vertical="center" wrapText="1"/>
    </xf>
    <xf numFmtId="0" fontId="0" fillId="16" borderId="63" xfId="0" applyFill="1" applyBorder="1" applyAlignment="1">
      <alignment horizontal="center" vertical="top"/>
    </xf>
    <xf numFmtId="0" fontId="0" fillId="16" borderId="65" xfId="0" applyFill="1" applyBorder="1" applyAlignment="1">
      <alignment horizontal="center" vertical="top"/>
    </xf>
    <xf numFmtId="0" fontId="0" fillId="16" borderId="17" xfId="0" applyFill="1" applyBorder="1" applyAlignment="1">
      <alignment horizontal="center" vertical="top"/>
    </xf>
    <xf numFmtId="0" fontId="0" fillId="16" borderId="44" xfId="0" applyFill="1" applyBorder="1" applyAlignment="1">
      <alignment horizontal="center" vertical="top"/>
    </xf>
    <xf numFmtId="0" fontId="0" fillId="16" borderId="68" xfId="0" applyFill="1" applyBorder="1" applyAlignment="1">
      <alignment horizontal="center" vertical="top"/>
    </xf>
    <xf numFmtId="0" fontId="0" fillId="16" borderId="4" xfId="0" applyFill="1" applyBorder="1" applyAlignment="1">
      <alignment horizontal="center" vertical="top"/>
    </xf>
    <xf numFmtId="0" fontId="0" fillId="16" borderId="45" xfId="0" applyFill="1" applyBorder="1" applyAlignment="1">
      <alignment horizontal="center" vertical="top"/>
    </xf>
    <xf numFmtId="0" fontId="0" fillId="16" borderId="4" xfId="0" applyNumberFormat="1" applyFill="1" applyBorder="1" applyAlignment="1">
      <alignment horizontal="center" vertical="top"/>
    </xf>
    <xf numFmtId="0" fontId="0" fillId="16" borderId="85" xfId="0" applyFill="1" applyBorder="1" applyAlignment="1">
      <alignment horizontal="center" vertical="top"/>
    </xf>
    <xf numFmtId="0" fontId="4" fillId="18" borderId="59" xfId="1" applyFont="1" applyFill="1" applyBorder="1" applyAlignment="1">
      <alignment horizontal="center"/>
    </xf>
    <xf numFmtId="0" fontId="33" fillId="19" borderId="14" xfId="0" applyFont="1" applyFill="1" applyBorder="1" applyAlignment="1">
      <alignment horizontal="center"/>
    </xf>
    <xf numFmtId="0" fontId="33" fillId="19" borderId="5" xfId="0" applyFont="1" applyFill="1" applyBorder="1" applyAlignment="1">
      <alignment horizontal="center"/>
    </xf>
    <xf numFmtId="0" fontId="33" fillId="19" borderId="16" xfId="0" applyFont="1" applyFill="1" applyBorder="1" applyAlignment="1">
      <alignment horizontal="center"/>
    </xf>
    <xf numFmtId="0" fontId="1" fillId="0" borderId="66" xfId="0" applyFont="1" applyBorder="1" applyAlignment="1">
      <alignment horizontal="left"/>
    </xf>
    <xf numFmtId="0" fontId="1" fillId="0" borderId="92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33" fillId="19" borderId="2" xfId="0" applyFont="1" applyFill="1" applyBorder="1" applyAlignment="1">
      <alignment horizontal="center"/>
    </xf>
    <xf numFmtId="0" fontId="33" fillId="19" borderId="88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19" borderId="2" xfId="0" applyFont="1" applyFill="1" applyBorder="1" applyAlignment="1">
      <alignment horizontal="center"/>
    </xf>
    <xf numFmtId="0" fontId="15" fillId="19" borderId="88" xfId="0" applyFont="1" applyFill="1" applyBorder="1" applyAlignment="1">
      <alignment horizontal="center"/>
    </xf>
    <xf numFmtId="0" fontId="15" fillId="19" borderId="85" xfId="0" applyFont="1" applyFill="1" applyBorder="1" applyAlignment="1">
      <alignment horizontal="center"/>
    </xf>
    <xf numFmtId="0" fontId="15" fillId="19" borderId="14" xfId="0" applyFont="1" applyFill="1" applyBorder="1" applyAlignment="1">
      <alignment horizontal="center"/>
    </xf>
    <xf numFmtId="0" fontId="15" fillId="19" borderId="5" xfId="0" applyFont="1" applyFill="1" applyBorder="1" applyAlignment="1">
      <alignment horizontal="center"/>
    </xf>
    <xf numFmtId="0" fontId="15" fillId="19" borderId="16" xfId="0" applyFont="1" applyFill="1" applyBorder="1" applyAlignment="1">
      <alignment horizontal="center"/>
    </xf>
    <xf numFmtId="0" fontId="32" fillId="0" borderId="89" xfId="0" applyFont="1" applyBorder="1" applyAlignment="1">
      <alignment horizontal="left"/>
    </xf>
    <xf numFmtId="0" fontId="32" fillId="0" borderId="43" xfId="0" applyFont="1" applyBorder="1" applyAlignment="1">
      <alignment horizontal="left"/>
    </xf>
    <xf numFmtId="0" fontId="0" fillId="0" borderId="89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89" xfId="0" applyBorder="1" applyAlignment="1">
      <alignment horizontal="right"/>
    </xf>
    <xf numFmtId="0" fontId="0" fillId="0" borderId="43" xfId="0" applyBorder="1" applyAlignment="1">
      <alignment horizontal="right"/>
    </xf>
    <xf numFmtId="0" fontId="4" fillId="0" borderId="89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0" fontId="32" fillId="0" borderId="66" xfId="0" applyFont="1" applyBorder="1" applyAlignment="1"/>
    <xf numFmtId="0" fontId="32" fillId="0" borderId="36" xfId="0" applyFont="1" applyBorder="1" applyAlignment="1"/>
    <xf numFmtId="0" fontId="0" fillId="0" borderId="66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66" xfId="0" applyBorder="1" applyAlignment="1">
      <alignment horizontal="right"/>
    </xf>
    <xf numFmtId="0" fontId="0" fillId="0" borderId="36" xfId="0" applyBorder="1" applyAlignment="1">
      <alignment horizontal="right"/>
    </xf>
    <xf numFmtId="0" fontId="1" fillId="0" borderId="66" xfId="0" applyFont="1" applyBorder="1" applyAlignment="1">
      <alignment horizontal="left"/>
    </xf>
    <xf numFmtId="0" fontId="0" fillId="0" borderId="66" xfId="0" applyBorder="1" applyAlignment="1">
      <alignment horizontal="right" wrapText="1"/>
    </xf>
    <xf numFmtId="0" fontId="0" fillId="0" borderId="36" xfId="0" applyBorder="1" applyAlignment="1">
      <alignment horizontal="right" wrapText="1"/>
    </xf>
    <xf numFmtId="0" fontId="1" fillId="0" borderId="66" xfId="0" applyFont="1" applyBorder="1" applyAlignment="1">
      <alignment horizontal="right"/>
    </xf>
    <xf numFmtId="0" fontId="1" fillId="0" borderId="36" xfId="0" applyFont="1" applyBorder="1" applyAlignment="1">
      <alignment horizontal="right"/>
    </xf>
    <xf numFmtId="0" fontId="1" fillId="0" borderId="36" xfId="0" applyFont="1" applyBorder="1" applyAlignment="1">
      <alignment horizontal="left"/>
    </xf>
    <xf numFmtId="0" fontId="1" fillId="0" borderId="92" xfId="0" applyFont="1" applyBorder="1" applyAlignment="1">
      <alignment horizontal="left"/>
    </xf>
    <xf numFmtId="0" fontId="32" fillId="0" borderId="66" xfId="0" applyFont="1" applyBorder="1" applyAlignment="1">
      <alignment horizontal="left"/>
    </xf>
    <xf numFmtId="0" fontId="32" fillId="0" borderId="36" xfId="0" applyFont="1" applyBorder="1" applyAlignment="1">
      <alignment horizontal="left"/>
    </xf>
    <xf numFmtId="0" fontId="32" fillId="0" borderId="69" xfId="0" applyFont="1" applyBorder="1" applyAlignment="1"/>
    <xf numFmtId="0" fontId="32" fillId="0" borderId="37" xfId="0" applyFont="1" applyBorder="1" applyAlignment="1"/>
    <xf numFmtId="0" fontId="33" fillId="0" borderId="14" xfId="0" applyFont="1" applyBorder="1" applyAlignment="1"/>
    <xf numFmtId="0" fontId="33" fillId="0" borderId="16" xfId="0" applyFont="1" applyBorder="1" applyAlignment="1"/>
    <xf numFmtId="9" fontId="1" fillId="0" borderId="66" xfId="0" applyNumberFormat="1" applyFont="1" applyBorder="1" applyAlignment="1">
      <alignment horizontal="left"/>
    </xf>
    <xf numFmtId="0" fontId="1" fillId="0" borderId="69" xfId="0" applyFont="1" applyBorder="1" applyAlignment="1">
      <alignment horizontal="right"/>
    </xf>
    <xf numFmtId="0" fontId="1" fillId="0" borderId="37" xfId="0" applyFont="1" applyBorder="1" applyAlignment="1">
      <alignment horizontal="right"/>
    </xf>
    <xf numFmtId="0" fontId="1" fillId="0" borderId="89" xfId="0" applyFont="1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30" xfId="0" applyBorder="1" applyAlignment="1">
      <alignment horizontal="left"/>
    </xf>
    <xf numFmtId="0" fontId="36" fillId="0" borderId="66" xfId="0" applyFont="1" applyBorder="1" applyAlignment="1">
      <alignment horizontal="left"/>
    </xf>
    <xf numFmtId="0" fontId="36" fillId="0" borderId="30" xfId="0" applyFont="1" applyBorder="1" applyAlignment="1">
      <alignment horizontal="left"/>
    </xf>
    <xf numFmtId="0" fontId="36" fillId="0" borderId="57" xfId="0" applyFont="1" applyBorder="1" applyAlignment="1">
      <alignment horizontal="center"/>
    </xf>
    <xf numFmtId="0" fontId="36" fillId="0" borderId="55" xfId="0" applyFont="1" applyBorder="1" applyAlignment="1">
      <alignment horizontal="center"/>
    </xf>
    <xf numFmtId="0" fontId="33" fillId="0" borderId="14" xfId="0" applyFont="1" applyBorder="1" applyAlignment="1">
      <alignment horizontal="left"/>
    </xf>
    <xf numFmtId="0" fontId="15" fillId="0" borderId="16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15" fillId="0" borderId="1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33" fillId="19" borderId="14" xfId="0" applyFont="1" applyFill="1" applyBorder="1" applyAlignment="1">
      <alignment horizontal="center"/>
    </xf>
    <xf numFmtId="0" fontId="33" fillId="19" borderId="5" xfId="0" applyFont="1" applyFill="1" applyBorder="1" applyAlignment="1">
      <alignment horizontal="center"/>
    </xf>
    <xf numFmtId="0" fontId="33" fillId="19" borderId="16" xfId="0" applyFont="1" applyFill="1" applyBorder="1" applyAlignment="1">
      <alignment horizontal="center"/>
    </xf>
    <xf numFmtId="0" fontId="1" fillId="0" borderId="89" xfId="0" applyFont="1" applyBorder="1" applyAlignment="1"/>
    <xf numFmtId="0" fontId="0" fillId="0" borderId="54" xfId="0" applyBorder="1" applyAlignment="1"/>
    <xf numFmtId="0" fontId="1" fillId="0" borderId="41" xfId="0" applyFont="1" applyBorder="1" applyAlignment="1">
      <alignment horizontal="center"/>
    </xf>
    <xf numFmtId="0" fontId="1" fillId="0" borderId="9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66" xfId="0" applyFont="1" applyBorder="1" applyAlignment="1"/>
    <xf numFmtId="0" fontId="0" fillId="0" borderId="30" xfId="0" applyBorder="1" applyAlignment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69" xfId="0" applyFont="1" applyBorder="1" applyAlignment="1"/>
    <xf numFmtId="0" fontId="0" fillId="0" borderId="55" xfId="0" applyBorder="1" applyAlignment="1"/>
    <xf numFmtId="166" fontId="35" fillId="0" borderId="17" xfId="0" applyNumberFormat="1" applyFont="1" applyBorder="1" applyAlignment="1"/>
    <xf numFmtId="166" fontId="35" fillId="0" borderId="8" xfId="0" applyNumberFormat="1" applyFont="1" applyBorder="1" applyAlignment="1"/>
    <xf numFmtId="0" fontId="15" fillId="0" borderId="6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166" fontId="35" fillId="0" borderId="26" xfId="0" applyNumberFormat="1" applyFont="1" applyBorder="1" applyAlignment="1">
      <alignment horizontal="center" vertical="center"/>
    </xf>
    <xf numFmtId="166" fontId="35" fillId="0" borderId="34" xfId="0" applyNumberFormat="1" applyFont="1" applyBorder="1" applyAlignment="1">
      <alignment horizontal="center" vertical="center"/>
    </xf>
    <xf numFmtId="166" fontId="35" fillId="0" borderId="28" xfId="0" applyNumberFormat="1" applyFont="1" applyBorder="1" applyAlignment="1">
      <alignment horizontal="center" vertical="center"/>
    </xf>
    <xf numFmtId="166" fontId="35" fillId="0" borderId="35" xfId="0" applyNumberFormat="1" applyFont="1" applyBorder="1" applyAlignment="1">
      <alignment horizontal="center" vertical="center"/>
    </xf>
    <xf numFmtId="0" fontId="10" fillId="0" borderId="26" xfId="0" applyFont="1" applyBorder="1" applyAlignment="1"/>
    <xf numFmtId="0" fontId="34" fillId="0" borderId="34" xfId="0" applyFont="1" applyBorder="1" applyAlignment="1"/>
    <xf numFmtId="0" fontId="0" fillId="0" borderId="28" xfId="0" applyBorder="1" applyAlignment="1"/>
    <xf numFmtId="0" fontId="0" fillId="0" borderId="35" xfId="0" applyBorder="1" applyAlignment="1"/>
    <xf numFmtId="0" fontId="0" fillId="0" borderId="66" xfId="0" applyNumberFormat="1" applyBorder="1" applyAlignment="1">
      <alignment horizontal="right"/>
    </xf>
    <xf numFmtId="0" fontId="33" fillId="19" borderId="2" xfId="0" applyFont="1" applyFill="1" applyBorder="1" applyAlignment="1">
      <alignment horizontal="center"/>
    </xf>
    <xf numFmtId="0" fontId="33" fillId="19" borderId="88" xfId="0" applyFont="1" applyFill="1" applyBorder="1" applyAlignment="1">
      <alignment horizontal="center"/>
    </xf>
    <xf numFmtId="0" fontId="33" fillId="19" borderId="3" xfId="0" applyFont="1" applyFill="1" applyBorder="1" applyAlignment="1">
      <alignment horizontal="center"/>
    </xf>
    <xf numFmtId="0" fontId="36" fillId="3" borderId="66" xfId="0" applyFont="1" applyFill="1" applyBorder="1" applyAlignment="1">
      <alignment horizontal="right"/>
    </xf>
    <xf numFmtId="0" fontId="36" fillId="3" borderId="36" xfId="0" applyFont="1" applyFill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8" borderId="14" xfId="0" applyFont="1" applyFill="1" applyBorder="1" applyAlignment="1">
      <alignment horizontal="center" vertical="top"/>
    </xf>
    <xf numFmtId="0" fontId="1" fillId="8" borderId="5" xfId="0" applyFont="1" applyFill="1" applyBorder="1" applyAlignment="1">
      <alignment horizontal="center" vertical="top"/>
    </xf>
    <xf numFmtId="0" fontId="1" fillId="8" borderId="16" xfId="0" applyFont="1" applyFill="1" applyBorder="1" applyAlignment="1">
      <alignment horizontal="center" vertical="top"/>
    </xf>
    <xf numFmtId="0" fontId="4" fillId="3" borderId="84" xfId="0" applyFont="1" applyFill="1" applyBorder="1" applyAlignment="1">
      <alignment vertical="center"/>
    </xf>
    <xf numFmtId="0" fontId="0" fillId="3" borderId="84" xfId="0" applyFill="1" applyBorder="1" applyAlignment="1"/>
    <xf numFmtId="0" fontId="3" fillId="17" borderId="14" xfId="0" applyFont="1" applyFill="1" applyBorder="1" applyAlignment="1">
      <alignment horizontal="center" vertical="center"/>
    </xf>
    <xf numFmtId="0" fontId="3" fillId="17" borderId="52" xfId="0" applyFont="1" applyFill="1" applyBorder="1" applyAlignment="1">
      <alignment horizontal="center" vertical="center"/>
    </xf>
    <xf numFmtId="165" fontId="26" fillId="0" borderId="20" xfId="1" applyNumberFormat="1" applyFont="1" applyBorder="1" applyAlignment="1">
      <alignment horizontal="left" vertical="center"/>
    </xf>
    <xf numFmtId="165" fontId="26" fillId="0" borderId="23" xfId="1" applyNumberFormat="1" applyFont="1" applyBorder="1" applyAlignment="1">
      <alignment horizontal="left" vertical="center"/>
    </xf>
    <xf numFmtId="165" fontId="26" fillId="0" borderId="9" xfId="1" applyNumberFormat="1" applyFont="1" applyBorder="1" applyAlignment="1">
      <alignment horizontal="left" vertical="center"/>
    </xf>
    <xf numFmtId="0" fontId="26" fillId="0" borderId="57" xfId="1" applyFont="1" applyBorder="1" applyAlignment="1">
      <alignment horizontal="center"/>
    </xf>
    <xf numFmtId="0" fontId="26" fillId="0" borderId="58" xfId="1" applyFont="1" applyBorder="1" applyAlignment="1">
      <alignment horizontal="center"/>
    </xf>
    <xf numFmtId="0" fontId="26" fillId="0" borderId="55" xfId="1" applyFont="1" applyBorder="1" applyAlignment="1">
      <alignment horizontal="center"/>
    </xf>
    <xf numFmtId="0" fontId="26" fillId="0" borderId="0" xfId="1" applyFont="1" applyAlignment="1">
      <alignment horizontal="center" vertical="center"/>
    </xf>
    <xf numFmtId="0" fontId="26" fillId="0" borderId="25" xfId="1" applyFont="1" applyBorder="1" applyAlignment="1">
      <alignment horizontal="center" vertical="center"/>
    </xf>
    <xf numFmtId="0" fontId="27" fillId="0" borderId="26" xfId="1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/>
    </xf>
    <xf numFmtId="0" fontId="27" fillId="0" borderId="53" xfId="1" applyFont="1" applyBorder="1" applyAlignment="1">
      <alignment horizontal="center" vertical="center"/>
    </xf>
    <xf numFmtId="0" fontId="27" fillId="5" borderId="5" xfId="1" applyFont="1" applyFill="1" applyBorder="1" applyAlignment="1">
      <alignment horizontal="center" vertical="center"/>
    </xf>
    <xf numFmtId="0" fontId="27" fillId="5" borderId="16" xfId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top"/>
    </xf>
    <xf numFmtId="0" fontId="6" fillId="8" borderId="38" xfId="0" applyFont="1" applyFill="1" applyBorder="1" applyAlignment="1">
      <alignment horizontal="center" vertical="top"/>
    </xf>
    <xf numFmtId="0" fontId="6" fillId="8" borderId="14" xfId="0" applyFont="1" applyFill="1" applyBorder="1" applyAlignment="1">
      <alignment horizontal="center" vertical="top"/>
    </xf>
    <xf numFmtId="0" fontId="6" fillId="8" borderId="5" xfId="0" applyFont="1" applyFill="1" applyBorder="1" applyAlignment="1">
      <alignment horizontal="center" vertical="top"/>
    </xf>
    <xf numFmtId="0" fontId="6" fillId="8" borderId="16" xfId="0" applyFont="1" applyFill="1" applyBorder="1" applyAlignment="1">
      <alignment horizontal="center" vertical="top"/>
    </xf>
    <xf numFmtId="0" fontId="4" fillId="8" borderId="14" xfId="0" applyFont="1" applyFill="1" applyBorder="1" applyAlignment="1">
      <alignment horizontal="center" vertical="top"/>
    </xf>
    <xf numFmtId="0" fontId="4" fillId="8" borderId="5" xfId="0" applyFont="1" applyFill="1" applyBorder="1" applyAlignment="1">
      <alignment horizontal="center" vertical="top"/>
    </xf>
    <xf numFmtId="0" fontId="4" fillId="8" borderId="52" xfId="0" applyFont="1" applyFill="1" applyBorder="1" applyAlignment="1">
      <alignment horizontal="center" vertical="top"/>
    </xf>
    <xf numFmtId="0" fontId="4" fillId="8" borderId="16" xfId="0" applyFont="1" applyFill="1" applyBorder="1" applyAlignment="1">
      <alignment horizontal="center" vertical="top"/>
    </xf>
    <xf numFmtId="0" fontId="5" fillId="8" borderId="5" xfId="0" applyFont="1" applyFill="1" applyBorder="1" applyAlignment="1">
      <alignment horizontal="center" vertical="top"/>
    </xf>
    <xf numFmtId="0" fontId="5" fillId="8" borderId="52" xfId="0" applyFont="1" applyFill="1" applyBorder="1" applyAlignment="1">
      <alignment horizontal="center" vertical="top"/>
    </xf>
    <xf numFmtId="0" fontId="26" fillId="8" borderId="3" xfId="1" applyFont="1" applyFill="1" applyBorder="1" applyAlignment="1">
      <alignment horizontal="center"/>
    </xf>
    <xf numFmtId="0" fontId="26" fillId="8" borderId="5" xfId="1" applyFont="1" applyFill="1" applyBorder="1" applyAlignment="1">
      <alignment horizontal="center"/>
    </xf>
    <xf numFmtId="0" fontId="26" fillId="8" borderId="16" xfId="1" applyFont="1" applyFill="1" applyBorder="1" applyAlignment="1">
      <alignment horizontal="center"/>
    </xf>
    <xf numFmtId="0" fontId="25" fillId="8" borderId="5" xfId="1" applyFont="1" applyFill="1" applyBorder="1" applyAlignment="1">
      <alignment horizontal="center"/>
    </xf>
    <xf numFmtId="0" fontId="25" fillId="8" borderId="16" xfId="1" applyFont="1" applyFill="1" applyBorder="1" applyAlignment="1">
      <alignment horizontal="center"/>
    </xf>
    <xf numFmtId="0" fontId="26" fillId="8" borderId="14" xfId="1" applyFont="1" applyFill="1" applyBorder="1" applyAlignment="1">
      <alignment horizontal="center"/>
    </xf>
    <xf numFmtId="0" fontId="25" fillId="8" borderId="14" xfId="1" applyFont="1" applyFill="1" applyBorder="1" applyAlignment="1">
      <alignment horizontal="center"/>
    </xf>
    <xf numFmtId="0" fontId="21" fillId="0" borderId="26" xfId="1" applyFont="1" applyBorder="1" applyAlignment="1">
      <alignment horizontal="center"/>
    </xf>
    <xf numFmtId="0" fontId="21" fillId="0" borderId="28" xfId="1" applyFont="1" applyBorder="1" applyAlignment="1">
      <alignment horizontal="center"/>
    </xf>
    <xf numFmtId="0" fontId="21" fillId="3" borderId="26" xfId="1" applyFont="1" applyFill="1" applyBorder="1" applyAlignment="1">
      <alignment horizontal="center"/>
    </xf>
    <xf numFmtId="0" fontId="21" fillId="3" borderId="28" xfId="1" applyFont="1" applyFill="1" applyBorder="1" applyAlignment="1">
      <alignment horizontal="center"/>
    </xf>
    <xf numFmtId="0" fontId="25" fillId="0" borderId="26" xfId="1" applyFont="1" applyBorder="1" applyAlignment="1">
      <alignment horizontal="center"/>
    </xf>
    <xf numFmtId="0" fontId="25" fillId="0" borderId="28" xfId="1" applyFont="1" applyBorder="1" applyAlignment="1">
      <alignment horizontal="center"/>
    </xf>
    <xf numFmtId="0" fontId="25" fillId="0" borderId="34" xfId="1" applyFont="1" applyBorder="1" applyAlignment="1">
      <alignment horizontal="center"/>
    </xf>
    <xf numFmtId="0" fontId="25" fillId="0" borderId="35" xfId="1" applyFont="1" applyBorder="1" applyAlignment="1">
      <alignment horizontal="center"/>
    </xf>
    <xf numFmtId="0" fontId="26" fillId="15" borderId="17" xfId="1" applyFont="1" applyFill="1" applyBorder="1" applyAlignment="1">
      <alignment horizontal="center"/>
    </xf>
    <xf numFmtId="0" fontId="26" fillId="15" borderId="8" xfId="1" applyFont="1" applyFill="1" applyBorder="1" applyAlignment="1">
      <alignment horizontal="center"/>
    </xf>
    <xf numFmtId="0" fontId="26" fillId="18" borderId="50" xfId="1" applyFont="1" applyFill="1" applyBorder="1" applyAlignment="1">
      <alignment horizontal="center"/>
    </xf>
    <xf numFmtId="0" fontId="26" fillId="18" borderId="51" xfId="1" applyFont="1" applyFill="1" applyBorder="1" applyAlignment="1">
      <alignment horizontal="center"/>
    </xf>
    <xf numFmtId="0" fontId="26" fillId="18" borderId="17" xfId="1" applyFont="1" applyFill="1" applyBorder="1" applyAlignment="1">
      <alignment horizontal="center"/>
    </xf>
    <xf numFmtId="0" fontId="26" fillId="18" borderId="8" xfId="1" applyFont="1" applyFill="1" applyBorder="1" applyAlignment="1">
      <alignment horizontal="center"/>
    </xf>
    <xf numFmtId="0" fontId="5" fillId="0" borderId="0" xfId="0" applyFont="1" applyAlignment="1" applyProtection="1">
      <alignment horizontal="center" vertical="center"/>
      <protection locked="0" hidden="1"/>
    </xf>
    <xf numFmtId="0" fontId="5" fillId="0" borderId="13" xfId="0" applyFont="1" applyBorder="1" applyAlignment="1" applyProtection="1">
      <alignment horizontal="center" vertical="center"/>
      <protection locked="0" hidden="1"/>
    </xf>
    <xf numFmtId="0" fontId="5" fillId="0" borderId="26" xfId="0" applyFont="1" applyBorder="1" applyAlignment="1" applyProtection="1">
      <alignment vertical="center"/>
      <protection locked="0" hidden="1"/>
    </xf>
    <xf numFmtId="0" fontId="5" fillId="0" borderId="27" xfId="0" applyFont="1" applyBorder="1" applyAlignment="1" applyProtection="1">
      <alignment vertical="center"/>
      <protection locked="0" hidden="1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21" fillId="4" borderId="0" xfId="0" applyFont="1" applyFill="1" applyAlignment="1" applyProtection="1">
      <alignment horizontal="center" vertical="center"/>
      <protection locked="0" hidden="1"/>
    </xf>
    <xf numFmtId="0" fontId="21" fillId="4" borderId="13" xfId="0" applyFont="1" applyFill="1" applyBorder="1" applyAlignment="1" applyProtection="1">
      <alignment horizontal="center" vertical="center"/>
      <protection locked="0" hidden="1"/>
    </xf>
    <xf numFmtId="0" fontId="22" fillId="7" borderId="5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4" borderId="52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vertical="center"/>
    </xf>
    <xf numFmtId="0" fontId="22" fillId="9" borderId="52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22" fillId="10" borderId="16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/>
    </xf>
    <xf numFmtId="0" fontId="22" fillId="5" borderId="28" xfId="0" applyFont="1" applyFill="1" applyBorder="1" applyAlignment="1">
      <alignment horizontal="center"/>
    </xf>
    <xf numFmtId="0" fontId="23" fillId="0" borderId="26" xfId="1" applyFont="1" applyBorder="1" applyAlignment="1">
      <alignment horizontal="center"/>
    </xf>
    <xf numFmtId="0" fontId="23" fillId="0" borderId="28" xfId="1" applyFont="1" applyBorder="1" applyAlignment="1">
      <alignment horizontal="center"/>
    </xf>
    <xf numFmtId="0" fontId="23" fillId="5" borderId="26" xfId="1" applyFont="1" applyFill="1" applyBorder="1" applyAlignment="1">
      <alignment horizontal="center"/>
    </xf>
    <xf numFmtId="0" fontId="23" fillId="5" borderId="28" xfId="1" applyFont="1" applyFill="1" applyBorder="1" applyAlignment="1">
      <alignment horizontal="center"/>
    </xf>
    <xf numFmtId="0" fontId="22" fillId="5" borderId="14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 vertical="center"/>
    </xf>
    <xf numFmtId="0" fontId="22" fillId="5" borderId="28" xfId="0" applyFont="1" applyFill="1" applyBorder="1" applyAlignment="1">
      <alignment horizontal="center" vertical="center"/>
    </xf>
    <xf numFmtId="0" fontId="22" fillId="5" borderId="27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0" borderId="34" xfId="1" applyFont="1" applyBorder="1" applyAlignment="1">
      <alignment horizontal="center"/>
    </xf>
    <xf numFmtId="0" fontId="23" fillId="0" borderId="35" xfId="1" applyFont="1" applyBorder="1" applyAlignment="1">
      <alignment horizontal="center"/>
    </xf>
    <xf numFmtId="0" fontId="24" fillId="3" borderId="34" xfId="0" applyFont="1" applyFill="1" applyBorder="1" applyAlignment="1">
      <alignment horizontal="center" vertical="center"/>
    </xf>
    <xf numFmtId="0" fontId="24" fillId="3" borderId="35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34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3" fillId="3" borderId="46" xfId="1" applyFont="1" applyFill="1" applyBorder="1" applyAlignment="1">
      <alignment horizontal="center"/>
    </xf>
    <xf numFmtId="0" fontId="23" fillId="3" borderId="48" xfId="1" applyFont="1" applyFill="1" applyBorder="1" applyAlignment="1">
      <alignment horizontal="center"/>
    </xf>
    <xf numFmtId="0" fontId="23" fillId="3" borderId="47" xfId="1" applyFont="1" applyFill="1" applyBorder="1" applyAlignment="1">
      <alignment horizontal="center"/>
    </xf>
    <xf numFmtId="0" fontId="23" fillId="3" borderId="49" xfId="1" applyFont="1" applyFill="1" applyBorder="1" applyAlignment="1">
      <alignment horizontal="center"/>
    </xf>
    <xf numFmtId="0" fontId="23" fillId="3" borderId="50" xfId="1" applyFont="1" applyFill="1" applyBorder="1" applyAlignment="1">
      <alignment horizontal="center"/>
    </xf>
    <xf numFmtId="0" fontId="23" fillId="3" borderId="51" xfId="1" applyFont="1" applyFill="1" applyBorder="1" applyAlignment="1">
      <alignment horizontal="center"/>
    </xf>
    <xf numFmtId="0" fontId="23" fillId="8" borderId="47" xfId="1" applyFont="1" applyFill="1" applyBorder="1" applyAlignment="1">
      <alignment horizontal="center"/>
    </xf>
    <xf numFmtId="0" fontId="23" fillId="8" borderId="49" xfId="1" applyFont="1" applyFill="1" applyBorder="1" applyAlignment="1">
      <alignment horizontal="center"/>
    </xf>
    <xf numFmtId="0" fontId="16" fillId="8" borderId="26" xfId="0" applyFont="1" applyFill="1" applyBorder="1" applyAlignment="1">
      <alignment horizontal="center"/>
    </xf>
    <xf numFmtId="0" fontId="16" fillId="8" borderId="34" xfId="0" applyFont="1" applyFill="1" applyBorder="1" applyAlignment="1">
      <alignment horizontal="center"/>
    </xf>
    <xf numFmtId="0" fontId="16" fillId="8" borderId="28" xfId="0" applyFont="1" applyFill="1" applyBorder="1" applyAlignment="1">
      <alignment horizontal="center"/>
    </xf>
    <xf numFmtId="0" fontId="16" fillId="8" borderId="35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 wrapText="1"/>
    </xf>
    <xf numFmtId="0" fontId="5" fillId="7" borderId="34" xfId="0" applyFont="1" applyFill="1" applyBorder="1" applyAlignment="1">
      <alignment horizontal="center" wrapText="1"/>
    </xf>
    <xf numFmtId="0" fontId="5" fillId="7" borderId="28" xfId="0" applyFont="1" applyFill="1" applyBorder="1" applyAlignment="1">
      <alignment horizontal="center" wrapText="1"/>
    </xf>
    <xf numFmtId="0" fontId="5" fillId="7" borderId="35" xfId="0" applyFont="1" applyFill="1" applyBorder="1" applyAlignment="1">
      <alignment horizontal="center" wrapText="1"/>
    </xf>
    <xf numFmtId="0" fontId="5" fillId="7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23" fillId="8" borderId="53" xfId="1" applyFont="1" applyFill="1" applyBorder="1" applyAlignment="1">
      <alignment horizontal="center"/>
    </xf>
    <xf numFmtId="0" fontId="23" fillId="8" borderId="38" xfId="1" applyFont="1" applyFill="1" applyBorder="1" applyAlignment="1">
      <alignment horizontal="center"/>
    </xf>
    <xf numFmtId="0" fontId="23" fillId="8" borderId="47" xfId="1" applyNumberFormat="1" applyFont="1" applyFill="1" applyBorder="1" applyAlignment="1">
      <alignment horizontal="center"/>
    </xf>
    <xf numFmtId="0" fontId="5" fillId="6" borderId="0" xfId="0" applyFont="1" applyFill="1" applyAlignment="1">
      <alignment horizontal="center" vertical="center" wrapText="1"/>
    </xf>
    <xf numFmtId="0" fontId="0" fillId="6" borderId="0" xfId="0" applyFill="1" applyAlignment="1"/>
    <xf numFmtId="0" fontId="5" fillId="0" borderId="1" xfId="0" applyFont="1" applyBorder="1" applyAlignment="1"/>
    <xf numFmtId="0" fontId="2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vertical="center"/>
      <protection locked="0" hidden="1"/>
    </xf>
    <xf numFmtId="0" fontId="0" fillId="0" borderId="38" xfId="0" applyBorder="1" applyAlignment="1">
      <alignment vertical="center"/>
    </xf>
    <xf numFmtId="0" fontId="5" fillId="0" borderId="39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27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22" xfId="0" applyBorder="1" applyAlignment="1">
      <alignment horizontal="center" vertical="center" textRotation="90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 applyProtection="1">
      <alignment vertical="center"/>
      <protection locked="0" hidden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16" xfId="0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5" xfId="0" applyBorder="1" applyAlignment="1"/>
    <xf numFmtId="0" fontId="40" fillId="0" borderId="26" xfId="0" applyFont="1" applyBorder="1" applyAlignment="1">
      <alignment horizontal="center"/>
    </xf>
    <xf numFmtId="0" fontId="5" fillId="3" borderId="4" xfId="0" applyFont="1" applyFill="1" applyBorder="1"/>
    <xf numFmtId="0" fontId="5" fillId="0" borderId="4" xfId="0" applyFont="1" applyBorder="1"/>
    <xf numFmtId="0" fontId="5" fillId="0" borderId="8" xfId="0" applyFont="1" applyBorder="1"/>
    <xf numFmtId="0" fontId="5" fillId="0" borderId="4" xfId="0" applyFont="1" applyBorder="1" applyAlignment="1">
      <alignment wrapText="1"/>
    </xf>
    <xf numFmtId="0" fontId="29" fillId="3" borderId="55" xfId="1" applyFont="1" applyFill="1" applyBorder="1"/>
    <xf numFmtId="0" fontId="25" fillId="20" borderId="54" xfId="1" applyFont="1" applyFill="1" applyBorder="1"/>
    <xf numFmtId="0" fontId="25" fillId="20" borderId="29" xfId="1" applyFont="1" applyFill="1" applyBorder="1"/>
    <xf numFmtId="0" fontId="25" fillId="20" borderId="55" xfId="1" applyFont="1" applyFill="1" applyBorder="1"/>
    <xf numFmtId="0" fontId="25" fillId="20" borderId="33" xfId="1" applyFont="1" applyFill="1" applyBorder="1"/>
    <xf numFmtId="0" fontId="28" fillId="20" borderId="54" xfId="1" applyFont="1" applyFill="1" applyBorder="1"/>
    <xf numFmtId="0" fontId="28" fillId="20" borderId="29" xfId="1" applyFont="1" applyFill="1" applyBorder="1"/>
    <xf numFmtId="0" fontId="28" fillId="20" borderId="55" xfId="1" applyFont="1" applyFill="1" applyBorder="1"/>
    <xf numFmtId="0" fontId="28" fillId="20" borderId="33" xfId="1" applyFont="1" applyFill="1" applyBorder="1"/>
    <xf numFmtId="0" fontId="23" fillId="20" borderId="47" xfId="1" applyFont="1" applyFill="1" applyBorder="1" applyAlignment="1">
      <alignment horizontal="center"/>
    </xf>
    <xf numFmtId="0" fontId="23" fillId="20" borderId="49" xfId="1" applyFont="1" applyFill="1" applyBorder="1" applyAlignment="1">
      <alignment horizontal="center"/>
    </xf>
    <xf numFmtId="0" fontId="23" fillId="20" borderId="46" xfId="1" applyFont="1" applyFill="1" applyBorder="1" applyAlignment="1">
      <alignment horizontal="center"/>
    </xf>
    <xf numFmtId="0" fontId="23" fillId="20" borderId="48" xfId="1" applyFont="1" applyFill="1" applyBorder="1" applyAlignment="1">
      <alignment horizontal="center"/>
    </xf>
    <xf numFmtId="0" fontId="21" fillId="21" borderId="26" xfId="1" applyFont="1" applyFill="1" applyBorder="1" applyAlignment="1">
      <alignment horizontal="center"/>
    </xf>
    <xf numFmtId="0" fontId="25" fillId="21" borderId="34" xfId="1" applyFont="1" applyFill="1" applyBorder="1" applyAlignment="1">
      <alignment horizontal="center"/>
    </xf>
    <xf numFmtId="0" fontId="21" fillId="21" borderId="28" xfId="1" applyFont="1" applyFill="1" applyBorder="1" applyAlignment="1">
      <alignment horizontal="center"/>
    </xf>
    <xf numFmtId="0" fontId="25" fillId="21" borderId="35" xfId="1" applyFont="1" applyFill="1" applyBorder="1" applyAlignment="1">
      <alignment horizontal="center"/>
    </xf>
    <xf numFmtId="0" fontId="25" fillId="21" borderId="0" xfId="1" applyFont="1" applyFill="1" applyAlignment="1">
      <alignment horizontal="center" wrapText="1"/>
    </xf>
    <xf numFmtId="0" fontId="25" fillId="20" borderId="40" xfId="1" applyFont="1" applyFill="1" applyBorder="1"/>
    <xf numFmtId="0" fontId="25" fillId="20" borderId="32" xfId="1" applyFont="1" applyFill="1" applyBorder="1"/>
    <xf numFmtId="0" fontId="28" fillId="3" borderId="29" xfId="1" applyFont="1" applyFill="1" applyBorder="1"/>
    <xf numFmtId="0" fontId="29" fillId="20" borderId="40" xfId="1" applyFont="1" applyFill="1" applyBorder="1"/>
    <xf numFmtId="0" fontId="29" fillId="20" borderId="32" xfId="1" applyFont="1" applyFill="1" applyBorder="1"/>
    <xf numFmtId="0" fontId="0" fillId="4" borderId="7" xfId="0" applyFill="1" applyBorder="1" applyAlignment="1">
      <alignment horizontal="center" vertical="top"/>
    </xf>
    <xf numFmtId="0" fontId="41" fillId="0" borderId="0" xfId="0" applyFont="1"/>
    <xf numFmtId="0" fontId="23" fillId="20" borderId="50" xfId="1" applyFont="1" applyFill="1" applyBorder="1" applyAlignment="1">
      <alignment horizontal="center"/>
    </xf>
    <xf numFmtId="0" fontId="23" fillId="20" borderId="51" xfId="1" applyFont="1" applyFill="1" applyBorder="1" applyAlignment="1">
      <alignment horizontal="center"/>
    </xf>
    <xf numFmtId="0" fontId="29" fillId="20" borderId="54" xfId="1" applyFont="1" applyFill="1" applyBorder="1"/>
    <xf numFmtId="0" fontId="29" fillId="20" borderId="55" xfId="1" applyFont="1" applyFill="1" applyBorder="1"/>
    <xf numFmtId="0" fontId="4" fillId="3" borderId="90" xfId="0" applyFont="1" applyFill="1" applyBorder="1"/>
    <xf numFmtId="0" fontId="4" fillId="0" borderId="66" xfId="0" applyFont="1" applyBorder="1" applyAlignment="1">
      <alignment horizontal="left"/>
    </xf>
    <xf numFmtId="0" fontId="4" fillId="0" borderId="92" xfId="0" applyFont="1" applyBorder="1" applyAlignment="1">
      <alignment horizontal="left"/>
    </xf>
    <xf numFmtId="0" fontId="4" fillId="0" borderId="36" xfId="0" applyFont="1" applyBorder="1" applyAlignment="1">
      <alignment horizontal="left"/>
    </xf>
  </cellXfs>
  <cellStyles count="2">
    <cellStyle name="Обычный" xfId="0" builtinId="0"/>
    <cellStyle name="Обычный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62"/>
  <sheetViews>
    <sheetView tabSelected="1" zoomScale="70" zoomScaleNormal="70" workbookViewId="0">
      <selection activeCell="I34" sqref="I34:K34"/>
    </sheetView>
  </sheetViews>
  <sheetFormatPr defaultColWidth="9" defaultRowHeight="13.15"/>
  <cols>
    <col min="1" max="1" width="18.85546875" customWidth="1"/>
    <col min="2" max="2" width="7.140625" customWidth="1"/>
    <col min="3" max="3" width="18.5703125" customWidth="1"/>
    <col min="4" max="4" width="18.42578125" customWidth="1"/>
    <col min="5" max="5" width="7.140625" customWidth="1"/>
    <col min="6" max="6" width="9" customWidth="1"/>
    <col min="7" max="7" width="14.140625" customWidth="1"/>
    <col min="8" max="8" width="35.5703125" customWidth="1"/>
    <col min="9" max="9" width="11.140625" customWidth="1"/>
    <col min="10" max="10" width="10.5703125" customWidth="1"/>
    <col min="11" max="11" width="17" customWidth="1"/>
  </cols>
  <sheetData>
    <row r="1" spans="1:15" ht="18.75">
      <c r="A1" s="317" t="s">
        <v>0</v>
      </c>
      <c r="B1" s="318"/>
      <c r="C1" s="319"/>
      <c r="D1" s="317" t="s">
        <v>1</v>
      </c>
      <c r="E1" s="318"/>
      <c r="F1" s="318"/>
      <c r="G1" s="319"/>
      <c r="H1" s="320" t="s">
        <v>2</v>
      </c>
      <c r="I1" s="321"/>
      <c r="J1" s="321"/>
      <c r="K1" s="322"/>
    </row>
    <row r="2" spans="1:15" ht="15.75">
      <c r="A2" s="323" t="s">
        <v>3</v>
      </c>
      <c r="B2" s="324"/>
      <c r="C2" s="218">
        <v>52500</v>
      </c>
      <c r="D2" s="325" t="s">
        <v>4</v>
      </c>
      <c r="E2" s="326"/>
      <c r="F2" s="327">
        <f>Промоутеры!F14</f>
        <v>50500</v>
      </c>
      <c r="G2" s="328"/>
      <c r="H2" s="219" t="s">
        <v>5</v>
      </c>
      <c r="I2" s="329" t="s">
        <v>6</v>
      </c>
      <c r="J2" s="330"/>
      <c r="K2" s="331"/>
    </row>
    <row r="3" spans="1:15" ht="15.6" customHeight="1">
      <c r="A3" s="332" t="s">
        <v>7</v>
      </c>
      <c r="B3" s="333"/>
      <c r="C3" s="220">
        <v>35560</v>
      </c>
      <c r="D3" s="334" t="s">
        <v>8</v>
      </c>
      <c r="E3" s="335"/>
      <c r="F3" s="336">
        <f>'Лист выплат'!D70</f>
        <v>0</v>
      </c>
      <c r="G3" s="337"/>
      <c r="H3" s="221" t="s">
        <v>9</v>
      </c>
      <c r="I3" s="338" t="s">
        <v>10</v>
      </c>
      <c r="J3" s="344"/>
      <c r="K3" s="343"/>
    </row>
    <row r="4" spans="1:15" ht="15.6" customHeight="1">
      <c r="A4" s="332" t="s">
        <v>11</v>
      </c>
      <c r="B4" s="333"/>
      <c r="C4" s="220">
        <v>83500</v>
      </c>
      <c r="D4" s="338" t="s">
        <v>12</v>
      </c>
      <c r="E4" s="335"/>
      <c r="F4" s="339">
        <f>'Лист выплат'!G68</f>
        <v>8000</v>
      </c>
      <c r="G4" s="340"/>
      <c r="H4" s="222" t="s">
        <v>13</v>
      </c>
      <c r="I4" s="338" t="s">
        <v>14</v>
      </c>
      <c r="J4" s="344"/>
      <c r="K4" s="343"/>
    </row>
    <row r="5" spans="1:15" ht="15.6" customHeight="1">
      <c r="A5" s="332" t="s">
        <v>15</v>
      </c>
      <c r="B5" s="333"/>
      <c r="C5" s="220"/>
      <c r="D5" s="338" t="s">
        <v>16</v>
      </c>
      <c r="E5" s="335"/>
      <c r="F5" s="341">
        <f>'Лист выплат'!D59</f>
        <v>4000</v>
      </c>
      <c r="G5" s="342"/>
      <c r="H5" s="222" t="s">
        <v>17</v>
      </c>
      <c r="I5" s="338" t="s">
        <v>18</v>
      </c>
      <c r="J5" s="344"/>
      <c r="K5" s="343"/>
    </row>
    <row r="6" spans="1:15" ht="15.6" customHeight="1">
      <c r="A6" s="332" t="s">
        <v>19</v>
      </c>
      <c r="B6" s="333"/>
      <c r="C6" s="220">
        <v>239500</v>
      </c>
      <c r="D6" s="338" t="s">
        <v>20</v>
      </c>
      <c r="E6" s="335"/>
      <c r="F6" s="336">
        <f>SUM('Лист выплат'!D3:D17)</f>
        <v>7500</v>
      </c>
      <c r="G6" s="337"/>
      <c r="H6" s="222" t="s">
        <v>21</v>
      </c>
      <c r="I6" s="338" t="s">
        <v>22</v>
      </c>
      <c r="J6" s="344"/>
      <c r="K6" s="343"/>
    </row>
    <row r="7" spans="1:15" ht="15.6" customHeight="1">
      <c r="A7" s="332" t="s">
        <v>23</v>
      </c>
      <c r="B7" s="333"/>
      <c r="C7" s="220">
        <v>96000</v>
      </c>
      <c r="D7" s="338" t="s">
        <v>24</v>
      </c>
      <c r="E7" s="335"/>
      <c r="F7" s="336">
        <f>SUM('Лист выплат'!D39:D43)</f>
        <v>8000</v>
      </c>
      <c r="G7" s="337"/>
      <c r="H7" s="223" t="s">
        <v>25</v>
      </c>
      <c r="I7" s="338" t="s">
        <v>26</v>
      </c>
      <c r="J7" s="344"/>
      <c r="K7" s="343"/>
    </row>
    <row r="8" spans="1:15" ht="15.6" customHeight="1">
      <c r="A8" s="332" t="s">
        <v>27</v>
      </c>
      <c r="B8" s="333"/>
      <c r="C8" s="220"/>
      <c r="D8" s="338" t="s">
        <v>28</v>
      </c>
      <c r="E8" s="335"/>
      <c r="F8" s="336">
        <f>SUM('Лист выплат'!D30:D37)</f>
        <v>3000</v>
      </c>
      <c r="G8" s="337"/>
      <c r="H8" s="224" t="s">
        <v>29</v>
      </c>
      <c r="I8" s="338" t="s">
        <v>30</v>
      </c>
      <c r="J8" s="344"/>
      <c r="K8" s="343"/>
    </row>
    <row r="9" spans="1:15" ht="15.6" customHeight="1">
      <c r="A9" s="332" t="s">
        <v>31</v>
      </c>
      <c r="B9" s="333"/>
      <c r="C9" s="220">
        <v>46000</v>
      </c>
      <c r="D9" s="338" t="s">
        <v>32</v>
      </c>
      <c r="E9" s="335"/>
      <c r="F9" s="336">
        <f>SUM('Лист выплат'!D52:D55)</f>
        <v>7000</v>
      </c>
      <c r="G9" s="337"/>
      <c r="H9" s="223" t="s">
        <v>33</v>
      </c>
      <c r="I9" s="338" t="s">
        <v>34</v>
      </c>
      <c r="J9" s="344"/>
      <c r="K9" s="343"/>
    </row>
    <row r="10" spans="1:15" ht="15.6" customHeight="1">
      <c r="A10" s="332" t="s">
        <v>35</v>
      </c>
      <c r="B10" s="333"/>
      <c r="C10" s="220"/>
      <c r="D10" s="338" t="s">
        <v>36</v>
      </c>
      <c r="E10" s="343"/>
      <c r="F10" s="336">
        <f>SUM('Лист выплат'!D19:D28)</f>
        <v>0</v>
      </c>
      <c r="G10" s="337"/>
      <c r="H10" s="222" t="s">
        <v>37</v>
      </c>
      <c r="I10" s="309" t="s">
        <v>38</v>
      </c>
      <c r="J10" s="310"/>
      <c r="K10" s="311"/>
    </row>
    <row r="11" spans="1:15" ht="15.6" customHeight="1">
      <c r="A11" s="332" t="s">
        <v>39</v>
      </c>
      <c r="B11" s="333"/>
      <c r="C11" s="220"/>
      <c r="D11" s="338" t="s">
        <v>40</v>
      </c>
      <c r="E11" s="343"/>
      <c r="F11" s="336">
        <f>SUM('Лист выплат'!D60:D61)</f>
        <v>15000</v>
      </c>
      <c r="G11" s="337"/>
      <c r="H11" s="222" t="s">
        <v>41</v>
      </c>
      <c r="I11" s="338" t="s">
        <v>42</v>
      </c>
      <c r="J11" s="344"/>
      <c r="K11" s="343"/>
    </row>
    <row r="12" spans="1:15" ht="15.6" customHeight="1">
      <c r="A12" s="332" t="s">
        <v>43</v>
      </c>
      <c r="B12" s="333"/>
      <c r="C12" s="225"/>
      <c r="D12" s="338" t="s">
        <v>44</v>
      </c>
      <c r="E12" s="343"/>
      <c r="F12" s="336">
        <f>SUM('Лист выплат'!D45:D51)</f>
        <v>0</v>
      </c>
      <c r="G12" s="337"/>
      <c r="H12" s="222" t="s">
        <v>45</v>
      </c>
      <c r="I12" s="309" t="s">
        <v>46</v>
      </c>
      <c r="J12" s="310"/>
      <c r="K12" s="311"/>
    </row>
    <row r="13" spans="1:15" ht="15.6" customHeight="1">
      <c r="A13" s="345" t="s">
        <v>47</v>
      </c>
      <c r="B13" s="346"/>
      <c r="C13" s="225"/>
      <c r="D13" s="338" t="s">
        <v>48</v>
      </c>
      <c r="E13" s="343"/>
      <c r="F13" s="336">
        <f>SUM('Лист выплат'!D64:D66)</f>
        <v>12000</v>
      </c>
      <c r="G13" s="337"/>
      <c r="H13" s="226" t="s">
        <v>49</v>
      </c>
      <c r="I13" s="309" t="s">
        <v>50</v>
      </c>
      <c r="J13" s="310"/>
      <c r="K13" s="311"/>
    </row>
    <row r="14" spans="1:15" ht="15.6" customHeight="1">
      <c r="A14" s="345" t="s">
        <v>51</v>
      </c>
      <c r="B14" s="346"/>
      <c r="C14" s="225">
        <v>22800</v>
      </c>
      <c r="D14" s="338" t="s">
        <v>52</v>
      </c>
      <c r="E14" s="343"/>
      <c r="F14" s="336">
        <f>'Лист выплат'!H68</f>
        <v>108600</v>
      </c>
      <c r="G14" s="337"/>
      <c r="H14" s="309" t="s">
        <v>53</v>
      </c>
      <c r="I14" s="309" t="s">
        <v>54</v>
      </c>
      <c r="J14" s="310"/>
      <c r="K14" s="311"/>
    </row>
    <row r="15" spans="1:15" ht="16.350000000000001" customHeight="1">
      <c r="A15" s="347" t="s">
        <v>55</v>
      </c>
      <c r="B15" s="348"/>
      <c r="C15" s="225">
        <v>12110</v>
      </c>
      <c r="D15" s="338" t="s">
        <v>56</v>
      </c>
      <c r="E15" s="343"/>
      <c r="F15" s="336">
        <f>'Лист выплат'!I68</f>
        <v>21900</v>
      </c>
      <c r="G15" s="337"/>
      <c r="H15" s="221" t="s">
        <v>57</v>
      </c>
      <c r="I15" s="338" t="s">
        <v>58</v>
      </c>
      <c r="J15" s="344"/>
      <c r="K15" s="343"/>
    </row>
    <row r="16" spans="1:15" ht="16.350000000000001" customHeight="1">
      <c r="A16" s="349" t="s">
        <v>59</v>
      </c>
      <c r="B16" s="350"/>
      <c r="C16" s="228">
        <f>SUM(C2:C15)</f>
        <v>587970</v>
      </c>
      <c r="D16" s="338" t="s">
        <v>60</v>
      </c>
      <c r="E16" s="343"/>
      <c r="F16" s="336">
        <f>'Лист выплат'!J68</f>
        <v>68450</v>
      </c>
      <c r="G16" s="337"/>
      <c r="H16" s="221" t="s">
        <v>61</v>
      </c>
      <c r="I16" s="338" t="s">
        <v>62</v>
      </c>
      <c r="J16" s="344"/>
      <c r="K16" s="343"/>
      <c r="O16" s="1" t="s">
        <v>63</v>
      </c>
    </row>
    <row r="17" spans="1:11" ht="16.350000000000001" customHeight="1">
      <c r="A17" s="349" t="s">
        <v>64</v>
      </c>
      <c r="B17" s="350"/>
      <c r="C17" s="229">
        <v>0</v>
      </c>
      <c r="D17" s="338" t="s">
        <v>65</v>
      </c>
      <c r="E17" s="343"/>
      <c r="F17" s="336">
        <f>SUM('Лист выплат'!D56:D57)</f>
        <v>0</v>
      </c>
      <c r="G17" s="337"/>
      <c r="H17" s="230" t="s">
        <v>66</v>
      </c>
      <c r="I17" s="309" t="s">
        <v>67</v>
      </c>
      <c r="J17" s="310"/>
      <c r="K17" s="311"/>
    </row>
    <row r="18" spans="1:11" ht="16.5" customHeight="1">
      <c r="A18" s="400" t="s">
        <v>68</v>
      </c>
      <c r="B18" s="401"/>
      <c r="C18" s="382">
        <f>SUM(C16:C17)</f>
        <v>587970</v>
      </c>
      <c r="D18" s="338" t="s">
        <v>69</v>
      </c>
      <c r="E18" s="343"/>
      <c r="F18" s="341">
        <f>'Лист выплат'!D58</f>
        <v>3000</v>
      </c>
      <c r="G18" s="342"/>
      <c r="H18" s="230" t="s">
        <v>70</v>
      </c>
      <c r="I18" s="338" t="s">
        <v>71</v>
      </c>
      <c r="J18" s="344"/>
      <c r="K18" s="343"/>
    </row>
    <row r="19" spans="1:11" ht="15.6" customHeight="1">
      <c r="A19" s="402"/>
      <c r="B19" s="403"/>
      <c r="C19" s="383"/>
      <c r="D19" s="338" t="s">
        <v>72</v>
      </c>
      <c r="E19" s="343"/>
      <c r="F19" s="336">
        <f>SUM('Лист выплат'!D67)</f>
        <v>2000</v>
      </c>
      <c r="G19" s="337"/>
      <c r="H19" s="224" t="s">
        <v>73</v>
      </c>
      <c r="I19" s="338" t="s">
        <v>74</v>
      </c>
      <c r="J19" s="344"/>
      <c r="K19" s="343"/>
    </row>
    <row r="20" spans="1:11" ht="15.6" customHeight="1">
      <c r="A20" s="410"/>
      <c r="B20" s="411"/>
      <c r="C20" s="412"/>
      <c r="D20" s="338" t="s">
        <v>75</v>
      </c>
      <c r="E20" s="343"/>
      <c r="F20" s="336">
        <f>'Лист выплат'!D74</f>
        <v>1000</v>
      </c>
      <c r="G20" s="337"/>
      <c r="H20" s="231" t="s">
        <v>76</v>
      </c>
      <c r="I20" s="338" t="s">
        <v>77</v>
      </c>
      <c r="J20" s="344"/>
      <c r="K20" s="343"/>
    </row>
    <row r="21" spans="1:11" ht="15.75">
      <c r="A21" s="405" t="s">
        <v>3</v>
      </c>
      <c r="B21" s="406"/>
      <c r="C21" s="407"/>
      <c r="D21" s="338" t="s">
        <v>78</v>
      </c>
      <c r="E21" s="343"/>
      <c r="F21" s="408">
        <f>'Лист выплат'!D71</f>
        <v>0</v>
      </c>
      <c r="G21" s="409"/>
      <c r="H21" s="223" t="s">
        <v>79</v>
      </c>
      <c r="I21" s="309" t="s">
        <v>80</v>
      </c>
      <c r="J21" s="310"/>
      <c r="K21" s="311"/>
    </row>
    <row r="22" spans="1:11" ht="15.6" customHeight="1">
      <c r="A22" s="232" t="s">
        <v>81</v>
      </c>
      <c r="B22" s="233" t="s">
        <v>82</v>
      </c>
      <c r="C22" s="234" t="s">
        <v>83</v>
      </c>
      <c r="D22" s="338" t="s">
        <v>84</v>
      </c>
      <c r="E22" s="343"/>
      <c r="F22" s="341">
        <f>'Лист выплат'!D72</f>
        <v>0</v>
      </c>
      <c r="G22" s="342"/>
      <c r="H22" s="222" t="s">
        <v>85</v>
      </c>
      <c r="I22" s="309" t="s">
        <v>86</v>
      </c>
      <c r="J22" s="310"/>
      <c r="K22" s="311"/>
    </row>
    <row r="23" spans="1:11" ht="15.6" customHeight="1">
      <c r="A23" s="235" t="s">
        <v>87</v>
      </c>
      <c r="B23" s="233">
        <v>4</v>
      </c>
      <c r="C23" s="236"/>
      <c r="D23" s="338" t="s">
        <v>88</v>
      </c>
      <c r="E23" s="343"/>
      <c r="F23" s="336">
        <f>'Лист выплат'!D73</f>
        <v>300</v>
      </c>
      <c r="G23" s="337"/>
      <c r="H23" s="231" t="s">
        <v>89</v>
      </c>
      <c r="I23" s="309" t="s">
        <v>90</v>
      </c>
      <c r="J23" s="310"/>
      <c r="K23" s="311"/>
    </row>
    <row r="24" spans="1:11" ht="15.6" customHeight="1">
      <c r="A24" s="237">
        <v>1000</v>
      </c>
      <c r="B24" s="238"/>
      <c r="C24" s="239"/>
      <c r="D24" s="338" t="s">
        <v>91</v>
      </c>
      <c r="E24" s="343"/>
      <c r="F24" s="336">
        <f>'Лист выплат'!F68</f>
        <v>5950</v>
      </c>
      <c r="G24" s="337"/>
      <c r="H24" s="222" t="s">
        <v>92</v>
      </c>
      <c r="I24" s="309" t="s">
        <v>93</v>
      </c>
      <c r="J24" s="310"/>
      <c r="K24" s="311"/>
    </row>
    <row r="25" spans="1:11" ht="15.6" customHeight="1">
      <c r="A25" s="10">
        <v>1500</v>
      </c>
      <c r="B25" s="240">
        <v>7</v>
      </c>
      <c r="C25" s="239">
        <v>10500</v>
      </c>
      <c r="D25" s="338" t="s">
        <v>94</v>
      </c>
      <c r="E25" s="343"/>
      <c r="F25" s="336">
        <f>SUM('Лист выплат'!D75)</f>
        <v>11100</v>
      </c>
      <c r="G25" s="337"/>
      <c r="H25" s="222" t="s">
        <v>95</v>
      </c>
      <c r="I25" s="309" t="s">
        <v>96</v>
      </c>
      <c r="J25" s="310"/>
      <c r="K25" s="311"/>
    </row>
    <row r="26" spans="1:11" ht="15.6" customHeight="1">
      <c r="A26" s="10">
        <v>2000</v>
      </c>
      <c r="B26" s="238">
        <v>18</v>
      </c>
      <c r="C26" s="239">
        <v>36000</v>
      </c>
      <c r="D26" s="338" t="s">
        <v>97</v>
      </c>
      <c r="E26" s="343"/>
      <c r="F26" s="336">
        <f>SUM('Лист выплат'!D76)</f>
        <v>0</v>
      </c>
      <c r="G26" s="337"/>
      <c r="H26" s="601" t="s">
        <v>98</v>
      </c>
      <c r="I26" s="309" t="s">
        <v>99</v>
      </c>
      <c r="J26" s="310"/>
      <c r="K26" s="311"/>
    </row>
    <row r="27" spans="1:11" ht="15.6" customHeight="1">
      <c r="A27" s="10">
        <v>3000</v>
      </c>
      <c r="B27" s="238">
        <v>2</v>
      </c>
      <c r="C27" s="239">
        <v>6000</v>
      </c>
      <c r="D27" s="338" t="s">
        <v>100</v>
      </c>
      <c r="E27" s="343"/>
      <c r="F27" s="404">
        <f>SUM('Лист выплат'!D62:D63)</f>
        <v>0</v>
      </c>
      <c r="G27" s="337"/>
      <c r="H27" s="227"/>
      <c r="I27" s="309" t="s">
        <v>101</v>
      </c>
      <c r="J27" s="310"/>
      <c r="K27" s="311"/>
    </row>
    <row r="28" spans="1:11" ht="15.6" customHeight="1">
      <c r="A28" s="10">
        <v>4000</v>
      </c>
      <c r="B28" s="238"/>
      <c r="C28" s="239"/>
      <c r="D28" s="351" t="s">
        <v>102</v>
      </c>
      <c r="E28" s="343"/>
      <c r="F28" s="352">
        <f>'Лист выплат'!E68</f>
        <v>0</v>
      </c>
      <c r="G28" s="353"/>
      <c r="I28" s="309" t="s">
        <v>103</v>
      </c>
      <c r="J28" s="310"/>
      <c r="K28" s="311"/>
    </row>
    <row r="29" spans="1:11" ht="15.6" customHeight="1">
      <c r="A29" s="10">
        <v>5000</v>
      </c>
      <c r="B29" s="238"/>
      <c r="C29" s="239"/>
      <c r="D29" s="392" t="s">
        <v>104</v>
      </c>
      <c r="E29" s="393"/>
      <c r="F29" s="396">
        <f>SUM(F2:F28)</f>
        <v>337300</v>
      </c>
      <c r="G29" s="397"/>
      <c r="H29" s="227"/>
      <c r="I29" s="309" t="s">
        <v>105</v>
      </c>
      <c r="J29" s="310"/>
      <c r="K29" s="311"/>
    </row>
    <row r="30" spans="1:11" ht="15.6" customHeight="1">
      <c r="A30" s="235"/>
      <c r="B30" s="233"/>
      <c r="C30" s="236"/>
      <c r="D30" s="394"/>
      <c r="E30" s="395"/>
      <c r="F30" s="398"/>
      <c r="G30" s="399"/>
      <c r="H30" s="241"/>
      <c r="I30" s="338" t="s">
        <v>106</v>
      </c>
      <c r="J30" s="344"/>
      <c r="K30" s="343"/>
    </row>
    <row r="31" spans="1:11" ht="18.75">
      <c r="A31" s="242" t="s">
        <v>107</v>
      </c>
      <c r="B31" s="243">
        <f>SUM(B23:B30)</f>
        <v>31</v>
      </c>
      <c r="C31" s="244">
        <f>SUM(C24:C30)</f>
        <v>52500</v>
      </c>
      <c r="D31" s="312" t="s">
        <v>108</v>
      </c>
      <c r="E31" s="313"/>
      <c r="F31" s="313"/>
      <c r="G31" s="285"/>
      <c r="H31" s="245"/>
      <c r="I31" s="338" t="s">
        <v>109</v>
      </c>
      <c r="J31" s="344"/>
      <c r="K31" s="343"/>
    </row>
    <row r="32" spans="1:11" ht="16.350000000000001" customHeight="1">
      <c r="A32" s="367"/>
      <c r="B32" s="368"/>
      <c r="C32" s="369"/>
      <c r="D32" s="246"/>
      <c r="E32" s="247" t="s">
        <v>82</v>
      </c>
      <c r="F32" s="247" t="s">
        <v>110</v>
      </c>
      <c r="G32" s="248" t="s">
        <v>83</v>
      </c>
      <c r="H32" s="221"/>
      <c r="I32" s="338" t="s">
        <v>111</v>
      </c>
      <c r="J32" s="344"/>
      <c r="K32" s="343"/>
    </row>
    <row r="33" spans="1:15" ht="15.6" customHeight="1">
      <c r="A33" s="354" t="s">
        <v>112</v>
      </c>
      <c r="B33" s="355"/>
      <c r="C33" s="249">
        <v>125550</v>
      </c>
      <c r="D33" s="250" t="s">
        <v>113</v>
      </c>
      <c r="F33" s="238"/>
      <c r="G33" s="251">
        <v>86900</v>
      </c>
      <c r="H33" s="221"/>
      <c r="I33" s="602" t="s">
        <v>114</v>
      </c>
      <c r="J33" s="603"/>
      <c r="K33" s="604"/>
    </row>
    <row r="34" spans="1:15" ht="15.6" customHeight="1">
      <c r="A34" s="338" t="s">
        <v>115</v>
      </c>
      <c r="B34" s="356"/>
      <c r="C34" s="252">
        <v>303580</v>
      </c>
      <c r="D34" s="253" t="s">
        <v>116</v>
      </c>
      <c r="E34" s="254">
        <v>100</v>
      </c>
      <c r="F34" s="238">
        <v>70</v>
      </c>
      <c r="G34" s="255">
        <v>7000</v>
      </c>
      <c r="H34" s="221"/>
      <c r="I34" s="338"/>
      <c r="J34" s="344"/>
      <c r="K34" s="343"/>
    </row>
    <row r="35" spans="1:15" ht="15.6" customHeight="1">
      <c r="A35" s="357" t="s">
        <v>117</v>
      </c>
      <c r="B35" s="358"/>
      <c r="C35" s="252">
        <v>158840</v>
      </c>
      <c r="D35" s="256" t="s">
        <v>118</v>
      </c>
      <c r="E35" s="254"/>
      <c r="F35" s="238"/>
      <c r="G35" s="251"/>
      <c r="H35" s="227"/>
      <c r="I35" s="338"/>
      <c r="J35" s="344"/>
      <c r="K35" s="343"/>
    </row>
    <row r="36" spans="1:15" ht="15.6" customHeight="1">
      <c r="A36" s="357" t="s">
        <v>119</v>
      </c>
      <c r="B36" s="358"/>
      <c r="C36" s="257"/>
      <c r="D36" s="256"/>
      <c r="E36" s="254"/>
      <c r="F36" s="238"/>
      <c r="G36" s="251"/>
      <c r="H36" s="245"/>
      <c r="I36" s="338"/>
      <c r="J36" s="344"/>
      <c r="K36" s="343"/>
    </row>
    <row r="37" spans="1:15" ht="15.6" customHeight="1">
      <c r="A37" s="334" t="s">
        <v>120</v>
      </c>
      <c r="B37" s="356"/>
      <c r="C37" s="257"/>
      <c r="D37" s="256"/>
      <c r="E37" s="254"/>
      <c r="F37" s="254"/>
      <c r="G37" s="251"/>
      <c r="H37" s="221"/>
      <c r="I37" s="602"/>
      <c r="J37" s="603"/>
      <c r="K37" s="604"/>
    </row>
    <row r="38" spans="1:15" ht="15.6" customHeight="1">
      <c r="A38" s="357"/>
      <c r="B38" s="358"/>
      <c r="C38" s="258"/>
      <c r="D38" s="253"/>
      <c r="E38" s="254"/>
      <c r="F38" s="259"/>
      <c r="G38" s="251"/>
      <c r="H38" s="227"/>
      <c r="I38" s="338"/>
      <c r="J38" s="344"/>
      <c r="K38" s="343"/>
    </row>
    <row r="39" spans="1:15" ht="15.6" customHeight="1">
      <c r="A39" s="359"/>
      <c r="B39" s="360"/>
      <c r="C39" s="258"/>
      <c r="D39" s="256"/>
      <c r="E39" s="254"/>
      <c r="F39" s="259"/>
      <c r="G39" s="239"/>
      <c r="H39" s="221"/>
      <c r="I39" s="338"/>
      <c r="J39" s="344"/>
      <c r="K39" s="343"/>
    </row>
    <row r="40" spans="1:15" ht="15.6" customHeight="1">
      <c r="A40" s="361" t="s">
        <v>121</v>
      </c>
      <c r="B40" s="362"/>
      <c r="C40" s="260">
        <v>500590</v>
      </c>
      <c r="D40" s="261"/>
      <c r="E40" s="254"/>
      <c r="F40" s="262"/>
      <c r="G40" s="263"/>
      <c r="H40" s="221"/>
      <c r="I40" s="338"/>
      <c r="J40" s="344"/>
      <c r="K40" s="343"/>
    </row>
    <row r="41" spans="1:15" ht="18.75">
      <c r="A41" s="363" t="s">
        <v>107</v>
      </c>
      <c r="B41" s="362"/>
      <c r="C41" s="264">
        <f>SUM(C33:C39)</f>
        <v>587970</v>
      </c>
      <c r="D41" s="364" t="s">
        <v>122</v>
      </c>
      <c r="E41" s="365"/>
      <c r="F41" s="366"/>
      <c r="G41" s="265">
        <f>SUM(G33:G40)</f>
        <v>93900</v>
      </c>
      <c r="H41" s="266"/>
      <c r="I41" s="338"/>
      <c r="J41" s="344"/>
      <c r="K41" s="343"/>
      <c r="O41" s="1"/>
    </row>
    <row r="42" spans="1:15" ht="17.25" customHeight="1">
      <c r="A42" s="367" t="s">
        <v>123</v>
      </c>
      <c r="B42" s="368"/>
      <c r="C42" s="369"/>
      <c r="D42" s="306"/>
      <c r="E42" s="307"/>
      <c r="F42" s="307"/>
      <c r="G42" s="308" t="s">
        <v>124</v>
      </c>
      <c r="H42" s="286" t="s">
        <v>125</v>
      </c>
      <c r="I42" s="287"/>
      <c r="J42" s="287"/>
      <c r="K42" s="288"/>
      <c r="O42" s="1"/>
    </row>
    <row r="43" spans="1:15" ht="15.6" customHeight="1">
      <c r="A43" s="370" t="s">
        <v>126</v>
      </c>
      <c r="B43" s="371"/>
      <c r="C43" s="267">
        <v>7</v>
      </c>
      <c r="D43" s="235" t="s">
        <v>127</v>
      </c>
      <c r="E43" s="372">
        <f>SUM('Лист выплат'!N79)</f>
        <v>135900</v>
      </c>
      <c r="F43" s="373"/>
      <c r="G43" s="374"/>
      <c r="H43" s="268"/>
      <c r="I43" s="275" t="s">
        <v>128</v>
      </c>
      <c r="J43" s="276" t="s">
        <v>129</v>
      </c>
      <c r="K43" s="277" t="s">
        <v>130</v>
      </c>
      <c r="O43" s="1"/>
    </row>
    <row r="44" spans="1:15" ht="15.6" customHeight="1">
      <c r="A44" s="375" t="s">
        <v>131</v>
      </c>
      <c r="B44" s="376"/>
      <c r="C44" s="269">
        <v>2</v>
      </c>
      <c r="D44" s="270" t="s">
        <v>132</v>
      </c>
      <c r="E44" s="377">
        <f>SUM('Лист выплат'!M68)</f>
        <v>169750</v>
      </c>
      <c r="F44" s="378"/>
      <c r="G44" s="379"/>
      <c r="H44" s="271" t="s">
        <v>112</v>
      </c>
      <c r="I44" s="278">
        <f>C33</f>
        <v>125550</v>
      </c>
      <c r="J44" s="279">
        <f>SUM(F29-E44)</f>
        <v>167550</v>
      </c>
      <c r="K44" s="280">
        <f>SUM(I44-J44)</f>
        <v>-42000</v>
      </c>
      <c r="O44" s="1"/>
    </row>
    <row r="45" spans="1:15" ht="15.6" customHeight="1">
      <c r="A45" s="375" t="s">
        <v>133</v>
      </c>
      <c r="B45" s="376"/>
      <c r="C45" s="269">
        <v>2</v>
      </c>
      <c r="D45" s="384" t="s">
        <v>104</v>
      </c>
      <c r="E45" s="386">
        <f>SUM(E43:E44)</f>
        <v>305650</v>
      </c>
      <c r="F45" s="387"/>
      <c r="G45" s="388"/>
      <c r="H45" s="272" t="s">
        <v>134</v>
      </c>
      <c r="I45" s="281">
        <f>SUM(C34:C39)</f>
        <v>462420</v>
      </c>
      <c r="J45" s="281">
        <f>E44</f>
        <v>169750</v>
      </c>
      <c r="K45" s="282">
        <f>SUM(I45-J45)</f>
        <v>292670</v>
      </c>
      <c r="O45" s="1"/>
    </row>
    <row r="46" spans="1:15" ht="15.6" customHeight="1">
      <c r="A46" s="380" t="s">
        <v>4</v>
      </c>
      <c r="B46" s="381"/>
      <c r="C46" s="273">
        <v>6</v>
      </c>
      <c r="D46" s="385"/>
      <c r="E46" s="389"/>
      <c r="F46" s="390"/>
      <c r="G46" s="391"/>
      <c r="H46" s="274" t="s">
        <v>104</v>
      </c>
      <c r="I46" s="283">
        <f>C18</f>
        <v>587970</v>
      </c>
      <c r="J46" s="283">
        <f>F29</f>
        <v>337300</v>
      </c>
      <c r="K46" s="284">
        <f>SUM(I46-J46)</f>
        <v>250670</v>
      </c>
      <c r="O46" s="1"/>
    </row>
    <row r="47" spans="1:15" ht="15.6" customHeight="1">
      <c r="O47" s="1"/>
    </row>
    <row r="48" spans="1:15">
      <c r="O48" s="1"/>
    </row>
    <row r="49" spans="15:15">
      <c r="O49" s="1"/>
    </row>
    <row r="50" spans="15:15">
      <c r="O50" s="1"/>
    </row>
    <row r="51" spans="15:15">
      <c r="O51" s="1"/>
    </row>
    <row r="52" spans="15:15">
      <c r="O52" s="1"/>
    </row>
    <row r="53" spans="15:15">
      <c r="O53" s="1"/>
    </row>
    <row r="54" spans="15:15">
      <c r="O54" s="1"/>
    </row>
    <row r="55" spans="15:15">
      <c r="O55" s="1"/>
    </row>
    <row r="56" spans="15:15">
      <c r="O56" s="1"/>
    </row>
    <row r="57" spans="15:15">
      <c r="O57" s="1"/>
    </row>
    <row r="58" spans="15:15">
      <c r="O58" s="1"/>
    </row>
    <row r="608" spans="21:21"/>
    <row r="662" spans="8:8">
      <c r="H662" t="s">
        <v>135</v>
      </c>
    </row>
  </sheetData>
  <mergeCells count="125">
    <mergeCell ref="I8:K8"/>
    <mergeCell ref="I3:K3"/>
    <mergeCell ref="I4:K4"/>
    <mergeCell ref="I5:K5"/>
    <mergeCell ref="I6:K6"/>
    <mergeCell ref="I7:K7"/>
    <mergeCell ref="A42:C42"/>
    <mergeCell ref="A43:B43"/>
    <mergeCell ref="E43:G43"/>
    <mergeCell ref="A44:B44"/>
    <mergeCell ref="E44:G44"/>
    <mergeCell ref="A45:B45"/>
    <mergeCell ref="A46:B46"/>
    <mergeCell ref="C18:C19"/>
    <mergeCell ref="D45:D46"/>
    <mergeCell ref="E45:G46"/>
    <mergeCell ref="D29:E30"/>
    <mergeCell ref="F29:G30"/>
    <mergeCell ref="A18:B19"/>
    <mergeCell ref="A37:B37"/>
    <mergeCell ref="A32:C32"/>
    <mergeCell ref="D27:E27"/>
    <mergeCell ref="F27:G27"/>
    <mergeCell ref="A21:C21"/>
    <mergeCell ref="D21:E21"/>
    <mergeCell ref="F21:G21"/>
    <mergeCell ref="A20:C20"/>
    <mergeCell ref="I37:K37"/>
    <mergeCell ref="A38:B38"/>
    <mergeCell ref="I38:K38"/>
    <mergeCell ref="A39:B39"/>
    <mergeCell ref="I39:K39"/>
    <mergeCell ref="A40:B40"/>
    <mergeCell ref="I40:K40"/>
    <mergeCell ref="A41:B41"/>
    <mergeCell ref="D41:F41"/>
    <mergeCell ref="I41:K41"/>
    <mergeCell ref="I32:K32"/>
    <mergeCell ref="A33:B33"/>
    <mergeCell ref="I33:K33"/>
    <mergeCell ref="A34:B34"/>
    <mergeCell ref="I34:K34"/>
    <mergeCell ref="A35:B35"/>
    <mergeCell ref="I35:K35"/>
    <mergeCell ref="A36:B36"/>
    <mergeCell ref="I36:K36"/>
    <mergeCell ref="D28:E28"/>
    <mergeCell ref="F28:G28"/>
    <mergeCell ref="I30:K30"/>
    <mergeCell ref="I31:K31"/>
    <mergeCell ref="D24:E24"/>
    <mergeCell ref="F24:G24"/>
    <mergeCell ref="D25:E25"/>
    <mergeCell ref="F25:G25"/>
    <mergeCell ref="D26:E26"/>
    <mergeCell ref="F26:G26"/>
    <mergeCell ref="D22:E22"/>
    <mergeCell ref="F22:G22"/>
    <mergeCell ref="D23:E23"/>
    <mergeCell ref="F23:G23"/>
    <mergeCell ref="D18:E18"/>
    <mergeCell ref="F18:G18"/>
    <mergeCell ref="I18:K18"/>
    <mergeCell ref="D19:E19"/>
    <mergeCell ref="F19:G19"/>
    <mergeCell ref="I19:K19"/>
    <mergeCell ref="D20:E20"/>
    <mergeCell ref="F20:G20"/>
    <mergeCell ref="I20:K20"/>
    <mergeCell ref="A15:B15"/>
    <mergeCell ref="D15:E15"/>
    <mergeCell ref="F15:G15"/>
    <mergeCell ref="I15:K15"/>
    <mergeCell ref="A16:B16"/>
    <mergeCell ref="D16:E16"/>
    <mergeCell ref="F16:G16"/>
    <mergeCell ref="I16:K16"/>
    <mergeCell ref="A17:B17"/>
    <mergeCell ref="D17:E17"/>
    <mergeCell ref="F17:G17"/>
    <mergeCell ref="A12:B12"/>
    <mergeCell ref="D12:E12"/>
    <mergeCell ref="F12:G12"/>
    <mergeCell ref="A13:B13"/>
    <mergeCell ref="D13:E13"/>
    <mergeCell ref="F13:G13"/>
    <mergeCell ref="A14:B14"/>
    <mergeCell ref="D14:E14"/>
    <mergeCell ref="F14:G14"/>
    <mergeCell ref="I9:K9"/>
    <mergeCell ref="A10:B10"/>
    <mergeCell ref="D10:E10"/>
    <mergeCell ref="F10:G10"/>
    <mergeCell ref="A11:B11"/>
    <mergeCell ref="D11:E11"/>
    <mergeCell ref="F11:G11"/>
    <mergeCell ref="I11:K11"/>
    <mergeCell ref="A7:B7"/>
    <mergeCell ref="D7:E7"/>
    <mergeCell ref="F7:G7"/>
    <mergeCell ref="A8:B8"/>
    <mergeCell ref="D8:E8"/>
    <mergeCell ref="F8:G8"/>
    <mergeCell ref="A9:B9"/>
    <mergeCell ref="D9:E9"/>
    <mergeCell ref="F9:G9"/>
    <mergeCell ref="A4:B4"/>
    <mergeCell ref="D4:E4"/>
    <mergeCell ref="F4:G4"/>
    <mergeCell ref="A5:B5"/>
    <mergeCell ref="D5:E5"/>
    <mergeCell ref="F5:G5"/>
    <mergeCell ref="A6:B6"/>
    <mergeCell ref="D6:E6"/>
    <mergeCell ref="F6:G6"/>
    <mergeCell ref="A1:C1"/>
    <mergeCell ref="D1:G1"/>
    <mergeCell ref="H1:K1"/>
    <mergeCell ref="A2:B2"/>
    <mergeCell ref="D2:E2"/>
    <mergeCell ref="F2:G2"/>
    <mergeCell ref="I2:K2"/>
    <mergeCell ref="A3:B3"/>
    <mergeCell ref="D3:E3"/>
    <mergeCell ref="F3:G3"/>
  </mergeCells>
  <pageMargins left="0.70866141732283505" right="0.70866141732283505" top="0.74803149606299202" bottom="0.74803149606299202" header="0.31496062992126" footer="0.31496062992126"/>
  <pageSetup paperSize="9" scale="66" fitToWidth="0" orientation="landscape"/>
  <ignoredErrors>
    <ignoredError sqref="C41" formulaRange="1" emptyCellReference="1"/>
    <ignoredError sqref="F3:G12 A40:B41 A43:B45 F14:G23 F25 F29 G41 I44:I45 A42:C42 B31:C31 C16 G13" emptyCellReferenc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  <pageSetUpPr fitToPage="1"/>
  </sheetPr>
  <dimension ref="A1:AA112"/>
  <sheetViews>
    <sheetView topLeftCell="A59" zoomScale="68" zoomScaleNormal="68" zoomScalePageLayoutView="68" workbookViewId="0">
      <selection activeCell="C80" sqref="C80"/>
    </sheetView>
  </sheetViews>
  <sheetFormatPr defaultColWidth="8.85546875" defaultRowHeight="13.15"/>
  <cols>
    <col min="1" max="1" width="7" customWidth="1"/>
    <col min="2" max="2" width="5.42578125" customWidth="1"/>
    <col min="3" max="3" width="25" customWidth="1"/>
    <col min="4" max="15" width="10.7109375" customWidth="1"/>
    <col min="16" max="16" width="12" customWidth="1"/>
  </cols>
  <sheetData>
    <row r="1" spans="1:22" ht="34.5" customHeight="1">
      <c r="A1" s="418" t="s">
        <v>136</v>
      </c>
      <c r="B1" s="419"/>
      <c r="C1" s="289" t="s">
        <v>137</v>
      </c>
      <c r="D1" s="290" t="s">
        <v>138</v>
      </c>
      <c r="E1" s="290" t="s">
        <v>102</v>
      </c>
      <c r="F1" s="291">
        <v>0.05</v>
      </c>
      <c r="G1" s="290" t="s">
        <v>139</v>
      </c>
      <c r="H1" s="292" t="s">
        <v>140</v>
      </c>
      <c r="I1" s="293" t="s">
        <v>56</v>
      </c>
      <c r="J1" s="292" t="s">
        <v>141</v>
      </c>
      <c r="K1" s="290" t="s">
        <v>142</v>
      </c>
      <c r="L1" s="294" t="s">
        <v>143</v>
      </c>
      <c r="M1" s="293" t="s">
        <v>144</v>
      </c>
      <c r="N1" s="293" t="s">
        <v>145</v>
      </c>
      <c r="O1" s="295" t="s">
        <v>146</v>
      </c>
      <c r="P1" s="155"/>
      <c r="Q1" s="168"/>
      <c r="R1" s="169"/>
      <c r="S1" s="170"/>
    </row>
    <row r="2" spans="1:22" ht="20.25" customHeight="1">
      <c r="A2" s="413" t="s">
        <v>147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5"/>
      <c r="P2" s="156"/>
      <c r="Q2" s="170"/>
      <c r="R2" s="170"/>
      <c r="S2" s="170"/>
    </row>
    <row r="3" spans="1:22" s="1" customFormat="1" ht="22.5" customHeight="1">
      <c r="A3" s="139" t="s">
        <v>148</v>
      </c>
      <c r="B3" s="140">
        <v>3</v>
      </c>
      <c r="C3" s="8" t="s">
        <v>149</v>
      </c>
      <c r="D3" s="153">
        <v>2500</v>
      </c>
      <c r="E3" s="153"/>
      <c r="F3" s="153"/>
      <c r="G3" s="153"/>
      <c r="H3" s="153">
        <v>5350</v>
      </c>
      <c r="I3" s="153">
        <f>SUM('крейзи консум новый'!X4:X5)</f>
        <v>1200</v>
      </c>
      <c r="J3" s="153">
        <f>SUM('Общий чай'!S3:S4)*0.5</f>
        <v>0</v>
      </c>
      <c r="K3" s="25"/>
      <c r="L3" s="296">
        <f t="shared" ref="L3:L51" si="0">D3+G3+H3+I3+J3-K3</f>
        <v>9050</v>
      </c>
      <c r="M3" s="25">
        <v>2300</v>
      </c>
      <c r="N3" s="157">
        <v>6750</v>
      </c>
      <c r="O3" s="297">
        <f t="shared" ref="O3:O55" si="1">L3-M3-N3</f>
        <v>0</v>
      </c>
      <c r="P3" s="158"/>
      <c r="Q3" s="171"/>
      <c r="R3" s="171"/>
      <c r="S3" s="171"/>
    </row>
    <row r="4" spans="1:22" ht="20.100000000000001" customHeight="1">
      <c r="A4" s="139" t="s">
        <v>148</v>
      </c>
      <c r="B4" s="140">
        <v>5</v>
      </c>
      <c r="C4" s="8" t="s">
        <v>150</v>
      </c>
      <c r="D4" s="153"/>
      <c r="E4" s="153"/>
      <c r="F4" s="153"/>
      <c r="G4" s="153"/>
      <c r="H4" s="153">
        <f>SUM('крейзи консум новый'!C6:C7)</f>
        <v>16200</v>
      </c>
      <c r="I4" s="153">
        <f>SUM('крейзи консум новый'!X6:X7)</f>
        <v>3800</v>
      </c>
      <c r="J4" s="153">
        <f>SUM('Общий чай'!S5:S6)*0.5</f>
        <v>2500</v>
      </c>
      <c r="K4" s="25"/>
      <c r="L4" s="298">
        <f t="shared" si="0"/>
        <v>22500</v>
      </c>
      <c r="M4" s="25">
        <v>22000</v>
      </c>
      <c r="N4" s="159">
        <v>500</v>
      </c>
      <c r="O4" s="296">
        <f t="shared" si="1"/>
        <v>0</v>
      </c>
      <c r="P4" s="160"/>
      <c r="Q4" s="170"/>
      <c r="R4" s="170"/>
      <c r="S4" s="170"/>
      <c r="T4" t="s">
        <v>124</v>
      </c>
    </row>
    <row r="5" spans="1:22" ht="20.100000000000001" customHeight="1">
      <c r="A5" s="139" t="s">
        <v>148</v>
      </c>
      <c r="B5" s="140">
        <v>9</v>
      </c>
      <c r="C5" s="8" t="s">
        <v>151</v>
      </c>
      <c r="D5" s="153">
        <v>2500</v>
      </c>
      <c r="E5" s="153"/>
      <c r="F5" s="153"/>
      <c r="G5" s="153"/>
      <c r="H5" s="153">
        <f>SUM('крейзи консум новый'!C8:C9)</f>
        <v>8550</v>
      </c>
      <c r="I5" s="153">
        <f>SUM('крейзи консум новый'!X8:X9)</f>
        <v>300</v>
      </c>
      <c r="J5" s="153">
        <f>SUM('Общий чай'!S7:S8)*0.5</f>
        <v>0</v>
      </c>
      <c r="K5" s="25"/>
      <c r="L5" s="298">
        <f t="shared" si="0"/>
        <v>11350</v>
      </c>
      <c r="M5" s="25">
        <v>8850</v>
      </c>
      <c r="N5" s="159">
        <v>2500</v>
      </c>
      <c r="O5" s="299">
        <f t="shared" si="1"/>
        <v>0</v>
      </c>
      <c r="P5" s="161"/>
    </row>
    <row r="6" spans="1:22" ht="20.100000000000001" customHeight="1">
      <c r="A6" s="139" t="s">
        <v>148</v>
      </c>
      <c r="B6" s="140">
        <v>11</v>
      </c>
      <c r="C6" s="8" t="s">
        <v>152</v>
      </c>
      <c r="D6" s="153"/>
      <c r="E6" s="153"/>
      <c r="F6" s="153"/>
      <c r="G6" s="153"/>
      <c r="H6" s="153">
        <f>SUM('крейзи консум новый'!C10:C11)</f>
        <v>20450</v>
      </c>
      <c r="I6" s="153">
        <f>SUM('крейзи консум новый'!X10:X11)</f>
        <v>600</v>
      </c>
      <c r="J6" s="153">
        <f>SUM('Общий чай'!S9:S10)*0.5</f>
        <v>3500</v>
      </c>
      <c r="K6" s="25"/>
      <c r="L6" s="298">
        <f t="shared" si="0"/>
        <v>24550</v>
      </c>
      <c r="M6" s="25">
        <v>18300</v>
      </c>
      <c r="N6" s="159">
        <v>6250</v>
      </c>
      <c r="O6" s="296">
        <f t="shared" si="1"/>
        <v>0</v>
      </c>
      <c r="P6" s="161"/>
    </row>
    <row r="7" spans="1:22" ht="20.100000000000001" customHeight="1">
      <c r="A7" s="139" t="s">
        <v>148</v>
      </c>
      <c r="B7" s="140">
        <v>18</v>
      </c>
      <c r="C7" s="8" t="s">
        <v>153</v>
      </c>
      <c r="D7" s="153"/>
      <c r="E7" s="153"/>
      <c r="F7" s="153"/>
      <c r="G7" s="153"/>
      <c r="H7" s="153">
        <f>SUM('крейзи консум новый'!C12:C13)</f>
        <v>34200</v>
      </c>
      <c r="I7" s="153">
        <f>SUM('крейзи консум новый'!X12:X13)</f>
        <v>0</v>
      </c>
      <c r="J7" s="153">
        <f>SUM('Общий чай'!S11:S12)*0.5</f>
        <v>500</v>
      </c>
      <c r="K7" s="25"/>
      <c r="L7" s="298">
        <f t="shared" si="0"/>
        <v>34700</v>
      </c>
      <c r="M7" s="25">
        <v>34200</v>
      </c>
      <c r="N7" s="159">
        <v>500</v>
      </c>
      <c r="O7" s="299">
        <f t="shared" si="1"/>
        <v>0</v>
      </c>
      <c r="P7" s="161"/>
    </row>
    <row r="8" spans="1:22" ht="20.100000000000001" customHeight="1">
      <c r="A8" s="139" t="s">
        <v>148</v>
      </c>
      <c r="B8" s="140">
        <v>21</v>
      </c>
      <c r="C8" s="9" t="s">
        <v>154</v>
      </c>
      <c r="D8" s="153">
        <v>2500</v>
      </c>
      <c r="E8" s="153"/>
      <c r="F8" s="153"/>
      <c r="G8" s="153"/>
      <c r="H8" s="153">
        <f>SUM('крейзи консум новый'!C14:C15)</f>
        <v>0</v>
      </c>
      <c r="I8" s="153">
        <v>2250</v>
      </c>
      <c r="J8" s="153">
        <f>SUM('Общий чай'!S12:S13)*0.5</f>
        <v>4750</v>
      </c>
      <c r="K8" s="25"/>
      <c r="L8" s="298">
        <f t="shared" si="0"/>
        <v>9500</v>
      </c>
      <c r="M8" s="25">
        <v>1250</v>
      </c>
      <c r="N8" s="159">
        <v>8250</v>
      </c>
      <c r="O8" s="296">
        <f t="shared" si="1"/>
        <v>0</v>
      </c>
      <c r="P8" s="161"/>
      <c r="T8" t="s">
        <v>124</v>
      </c>
    </row>
    <row r="9" spans="1:22" ht="20.100000000000001" customHeight="1">
      <c r="A9" s="139" t="s">
        <v>148</v>
      </c>
      <c r="B9" s="140">
        <v>66</v>
      </c>
      <c r="C9" s="10" t="s">
        <v>155</v>
      </c>
      <c r="D9" s="153"/>
      <c r="E9" s="153"/>
      <c r="F9" s="153"/>
      <c r="G9" s="153"/>
      <c r="H9" s="153">
        <f>SUM('крейзи консум новый'!C16:C17)</f>
        <v>23850</v>
      </c>
      <c r="I9" s="153">
        <v>1700</v>
      </c>
      <c r="J9" s="153">
        <f>SUM('Общий чай'!S15:S16)*0.5</f>
        <v>7000</v>
      </c>
      <c r="K9" s="25"/>
      <c r="L9" s="298">
        <f t="shared" si="0"/>
        <v>32550</v>
      </c>
      <c r="M9" s="25">
        <v>29700</v>
      </c>
      <c r="N9" s="159">
        <v>2850</v>
      </c>
      <c r="O9" s="299">
        <f t="shared" si="1"/>
        <v>0</v>
      </c>
      <c r="P9" s="161"/>
      <c r="T9" t="s">
        <v>124</v>
      </c>
    </row>
    <row r="10" spans="1:22" ht="20.100000000000001" customHeight="1">
      <c r="A10" s="139" t="s">
        <v>148</v>
      </c>
      <c r="B10" s="140"/>
      <c r="C10" s="8"/>
      <c r="D10" s="153"/>
      <c r="E10" s="153"/>
      <c r="F10" s="153"/>
      <c r="G10" s="153"/>
      <c r="H10" s="153">
        <f>SUM('крейзи консум новый'!C18:C19)</f>
        <v>0</v>
      </c>
      <c r="I10" s="153">
        <f>SUM('крейзи консум новый'!X18:X19)</f>
        <v>0</v>
      </c>
      <c r="J10" s="153">
        <f>SUM('Общий чай'!S17:S18)*0.5</f>
        <v>0</v>
      </c>
      <c r="K10" s="25"/>
      <c r="L10" s="298">
        <f t="shared" si="0"/>
        <v>0</v>
      </c>
      <c r="M10" s="25"/>
      <c r="N10" s="159"/>
      <c r="O10" s="296">
        <f t="shared" si="1"/>
        <v>0</v>
      </c>
      <c r="P10" s="161"/>
    </row>
    <row r="11" spans="1:22" ht="20.100000000000001" customHeight="1">
      <c r="A11" s="139" t="s">
        <v>148</v>
      </c>
      <c r="B11" s="140"/>
      <c r="C11" s="8"/>
      <c r="D11" s="153"/>
      <c r="E11" s="153"/>
      <c r="F11" s="153"/>
      <c r="G11" s="153"/>
      <c r="H11" s="153">
        <f>SUM('крейзи консум новый'!C20:C21)</f>
        <v>0</v>
      </c>
      <c r="I11" s="153">
        <f>SUM('крейзи консум новый'!X20:X21)</f>
        <v>0</v>
      </c>
      <c r="J11" s="153">
        <f>SUM('Общий чай'!S19:S20)*0.5</f>
        <v>0</v>
      </c>
      <c r="K11" s="25"/>
      <c r="L11" s="298">
        <f t="shared" si="0"/>
        <v>0</v>
      </c>
      <c r="M11" s="25"/>
      <c r="N11" s="159"/>
      <c r="O11" s="299">
        <f t="shared" si="1"/>
        <v>0</v>
      </c>
      <c r="P11" s="161"/>
    </row>
    <row r="12" spans="1:22" ht="20.100000000000001" customHeight="1">
      <c r="A12" s="139" t="s">
        <v>148</v>
      </c>
      <c r="B12" s="140"/>
      <c r="C12" s="8"/>
      <c r="D12" s="153"/>
      <c r="E12" s="153"/>
      <c r="F12" s="153"/>
      <c r="G12" s="153"/>
      <c r="H12" s="153">
        <f>SUM('крейзи консум новый'!C22:C23)</f>
        <v>0</v>
      </c>
      <c r="I12" s="153">
        <f>SUM('крейзи консум новый'!X22:X23)</f>
        <v>0</v>
      </c>
      <c r="J12" s="153">
        <f>SUM('Общий чай'!S21:S22)*0.5</f>
        <v>0</v>
      </c>
      <c r="K12" s="25"/>
      <c r="L12" s="298">
        <f t="shared" si="0"/>
        <v>0</v>
      </c>
      <c r="M12" s="25"/>
      <c r="N12" s="162"/>
      <c r="O12" s="299">
        <f t="shared" si="1"/>
        <v>0</v>
      </c>
      <c r="P12" s="161"/>
    </row>
    <row r="13" spans="1:22" ht="20.100000000000001" customHeight="1">
      <c r="A13" s="139" t="s">
        <v>148</v>
      </c>
      <c r="B13" s="140"/>
      <c r="C13" s="8"/>
      <c r="D13" s="153"/>
      <c r="E13" s="153"/>
      <c r="F13" s="153"/>
      <c r="G13" s="153"/>
      <c r="H13" s="153">
        <f>SUM('крейзи консум новый'!C24:C25)</f>
        <v>0</v>
      </c>
      <c r="I13" s="153">
        <f>SUM('крейзи консум новый'!X24:X25)</f>
        <v>0</v>
      </c>
      <c r="J13" s="153">
        <f>SUM('Общий чай'!S23:S24)*0.5</f>
        <v>0</v>
      </c>
      <c r="K13" s="25"/>
      <c r="L13" s="298">
        <f t="shared" si="0"/>
        <v>0</v>
      </c>
      <c r="M13" s="25"/>
      <c r="N13" s="162"/>
      <c r="O13" s="299">
        <f t="shared" si="1"/>
        <v>0</v>
      </c>
      <c r="P13" s="161"/>
    </row>
    <row r="14" spans="1:22" ht="20.100000000000001" customHeight="1">
      <c r="A14" s="139" t="s">
        <v>148</v>
      </c>
      <c r="B14" s="140"/>
      <c r="C14" s="8"/>
      <c r="D14" s="153"/>
      <c r="E14" s="153"/>
      <c r="F14" s="153"/>
      <c r="G14" s="153"/>
      <c r="H14" s="153">
        <f>SUM('крейзи консум новый'!C26:C27)</f>
        <v>0</v>
      </c>
      <c r="I14" s="153">
        <f>SUM('крейзи консум новый'!X26:X27)</f>
        <v>0</v>
      </c>
      <c r="J14" s="153">
        <f>SUM('Общий чай'!S25:S26)*0.5</f>
        <v>0</v>
      </c>
      <c r="K14" s="25"/>
      <c r="L14" s="298">
        <f>D14+G14+H14+I14+J14-K14</f>
        <v>0</v>
      </c>
      <c r="M14" s="25"/>
      <c r="N14" s="162"/>
      <c r="O14" s="299">
        <f t="shared" si="1"/>
        <v>0</v>
      </c>
      <c r="P14" s="161"/>
    </row>
    <row r="15" spans="1:22" ht="20.100000000000001" customHeight="1">
      <c r="A15" s="139" t="s">
        <v>148</v>
      </c>
      <c r="B15" s="140"/>
      <c r="C15" s="8"/>
      <c r="D15" s="153"/>
      <c r="E15" s="153"/>
      <c r="F15" s="153"/>
      <c r="G15" s="153"/>
      <c r="H15" s="153">
        <f>SUM('крейзи консум новый'!C28:C29)</f>
        <v>0</v>
      </c>
      <c r="I15" s="153">
        <f>SUM('крейзи консум новый'!X28:X29)</f>
        <v>0</v>
      </c>
      <c r="J15" s="153">
        <f>SUM('Общий чай'!S27:S28)*0.5</f>
        <v>0</v>
      </c>
      <c r="K15" s="25"/>
      <c r="L15" s="298">
        <f t="shared" si="0"/>
        <v>0</v>
      </c>
      <c r="M15" s="25"/>
      <c r="N15" s="162"/>
      <c r="O15" s="299">
        <f t="shared" si="1"/>
        <v>0</v>
      </c>
      <c r="P15" s="161"/>
    </row>
    <row r="16" spans="1:22" ht="20.100000000000001" customHeight="1">
      <c r="A16" s="139" t="s">
        <v>148</v>
      </c>
      <c r="B16" s="140"/>
      <c r="C16" s="8"/>
      <c r="D16" s="153"/>
      <c r="E16" s="153"/>
      <c r="F16" s="153"/>
      <c r="G16" s="153"/>
      <c r="H16" s="153">
        <f>SUM('крейзи консум новый'!C30:C31)</f>
        <v>0</v>
      </c>
      <c r="I16" s="153">
        <f>SUM('крейзи консум новый'!X30:X31)</f>
        <v>0</v>
      </c>
      <c r="J16" s="153">
        <f>SUM('Общий чай'!S29:S30)*0.5</f>
        <v>0</v>
      </c>
      <c r="K16" s="25"/>
      <c r="L16" s="298">
        <f t="shared" si="0"/>
        <v>0</v>
      </c>
      <c r="M16" s="25"/>
      <c r="N16" s="162"/>
      <c r="O16" s="299">
        <f t="shared" si="1"/>
        <v>0</v>
      </c>
      <c r="P16" s="161"/>
      <c r="V16" s="1" t="s">
        <v>124</v>
      </c>
    </row>
    <row r="17" spans="1:27" ht="20.100000000000001" customHeight="1">
      <c r="A17" s="139" t="s">
        <v>148</v>
      </c>
      <c r="B17" s="140"/>
      <c r="C17" s="8"/>
      <c r="D17" s="153"/>
      <c r="E17" s="141"/>
      <c r="F17" s="141"/>
      <c r="G17" s="141"/>
      <c r="H17" s="153">
        <f>SUM('крейзи консум новый'!C32:C33)</f>
        <v>0</v>
      </c>
      <c r="I17" s="153">
        <f>SUM('крейзи консум новый'!X32:X33)</f>
        <v>0</v>
      </c>
      <c r="J17" s="153">
        <f>SUM('Общий чай'!S31:S32)*0.5</f>
        <v>0</v>
      </c>
      <c r="K17" s="25"/>
      <c r="L17" s="298">
        <f t="shared" si="0"/>
        <v>0</v>
      </c>
      <c r="M17" s="25"/>
      <c r="N17" s="162"/>
      <c r="O17" s="299">
        <f t="shared" si="1"/>
        <v>0</v>
      </c>
      <c r="P17" s="161"/>
    </row>
    <row r="18" spans="1:27" ht="20.100000000000001" customHeight="1">
      <c r="A18" s="413" t="s">
        <v>156</v>
      </c>
      <c r="B18" s="414"/>
      <c r="C18" s="414"/>
      <c r="D18" s="414"/>
      <c r="E18" s="414"/>
      <c r="F18" s="414"/>
      <c r="G18" s="414"/>
      <c r="H18" s="414"/>
      <c r="I18" s="414"/>
      <c r="J18" s="414"/>
      <c r="K18" s="414"/>
      <c r="L18" s="414"/>
      <c r="M18" s="414"/>
      <c r="N18" s="414"/>
      <c r="O18" s="415"/>
      <c r="P18" s="1"/>
    </row>
    <row r="19" spans="1:27" ht="20.100000000000001" customHeight="1">
      <c r="A19" s="139" t="s">
        <v>157</v>
      </c>
      <c r="B19" s="142"/>
      <c r="C19" s="9"/>
      <c r="D19" s="153"/>
      <c r="E19" s="153"/>
      <c r="F19" s="153"/>
      <c r="G19" s="153"/>
      <c r="H19" s="153">
        <f>SUM('крейзи консум новый'!C35:C36)</f>
        <v>0</v>
      </c>
      <c r="I19" s="153">
        <f>SUM('крейзи консум новый'!X35:X36)</f>
        <v>0</v>
      </c>
      <c r="J19" s="153">
        <f>SUM('Общий чай'!S34:S35)*0.5</f>
        <v>0</v>
      </c>
      <c r="K19" s="25"/>
      <c r="L19" s="296">
        <f>D19+F19+G19+H19+I19+J19-K19</f>
        <v>0</v>
      </c>
      <c r="M19" s="25"/>
      <c r="N19" s="157"/>
      <c r="O19" s="296">
        <f t="shared" si="1"/>
        <v>0</v>
      </c>
      <c r="P19" s="161"/>
    </row>
    <row r="20" spans="1:27" ht="20.100000000000001" customHeight="1">
      <c r="A20" s="139" t="s">
        <v>157</v>
      </c>
      <c r="B20" s="142"/>
      <c r="C20" s="10"/>
      <c r="D20" s="153"/>
      <c r="E20" s="153"/>
      <c r="F20" s="153"/>
      <c r="G20" s="153"/>
      <c r="H20" s="153">
        <f>SUM('крейзи консум новый'!C37:C38)</f>
        <v>0</v>
      </c>
      <c r="I20" s="153">
        <f>SUM('крейзи консум новый'!X37:X38)</f>
        <v>0</v>
      </c>
      <c r="J20" s="153">
        <f>SUM('Общий чай'!S36:S37)*0.5</f>
        <v>0</v>
      </c>
      <c r="K20" s="25"/>
      <c r="L20" s="298">
        <f>D20+F20+G20+H20+I20+J20-K20</f>
        <v>0</v>
      </c>
      <c r="M20" s="25"/>
      <c r="N20" s="159"/>
      <c r="O20" s="299">
        <f t="shared" si="1"/>
        <v>0</v>
      </c>
      <c r="P20" s="161"/>
    </row>
    <row r="21" spans="1:27" ht="20.100000000000001" customHeight="1">
      <c r="A21" s="139" t="s">
        <v>157</v>
      </c>
      <c r="B21" s="142"/>
      <c r="C21" s="8"/>
      <c r="D21" s="153"/>
      <c r="E21" s="153"/>
      <c r="F21" s="153"/>
      <c r="G21" s="153"/>
      <c r="H21" s="153">
        <f>SUM('крейзи консум новый'!C39:C40)</f>
        <v>0</v>
      </c>
      <c r="I21" s="153">
        <f>SUM('крейзи консум новый'!X39:X40)</f>
        <v>0</v>
      </c>
      <c r="J21" s="153">
        <f>SUM('Общий чай'!S38:S39)*0.5</f>
        <v>0</v>
      </c>
      <c r="K21" s="25"/>
      <c r="L21" s="298">
        <f>D21+F21+G21+H21+I21+J21-K21</f>
        <v>0</v>
      </c>
      <c r="M21" s="25"/>
      <c r="N21" s="159"/>
      <c r="O21" s="296">
        <f t="shared" si="1"/>
        <v>0</v>
      </c>
      <c r="P21" s="161"/>
    </row>
    <row r="22" spans="1:27" ht="17.25" customHeight="1">
      <c r="A22" s="139" t="s">
        <v>157</v>
      </c>
      <c r="B22" s="142"/>
      <c r="C22" s="8"/>
      <c r="D22" s="153"/>
      <c r="E22" s="153"/>
      <c r="F22" s="153"/>
      <c r="G22" s="153"/>
      <c r="H22" s="153">
        <f>SUM('крейзи консум новый'!C41:C42)</f>
        <v>0</v>
      </c>
      <c r="I22" s="153">
        <f>SUM('крейзи консум новый'!X41:X42)</f>
        <v>0</v>
      </c>
      <c r="J22" s="153">
        <f>SUM('Общий чай'!S40:S41)*0.5</f>
        <v>0</v>
      </c>
      <c r="K22" s="25"/>
      <c r="L22" s="298">
        <f>D22+F22+G22+H22+I22+J22-K22</f>
        <v>0</v>
      </c>
      <c r="M22" s="25"/>
      <c r="N22" s="159"/>
      <c r="O22" s="299">
        <f t="shared" si="1"/>
        <v>0</v>
      </c>
      <c r="P22" s="161"/>
      <c r="AA22" t="s">
        <v>124</v>
      </c>
    </row>
    <row r="23" spans="1:27" ht="20.100000000000001" customHeight="1">
      <c r="A23" s="139" t="s">
        <v>157</v>
      </c>
      <c r="B23" s="142"/>
      <c r="C23" s="8"/>
      <c r="D23" s="153"/>
      <c r="E23" s="153"/>
      <c r="F23" s="153"/>
      <c r="G23" s="153"/>
      <c r="H23" s="153">
        <f>SUM('крейзи консум новый'!C43:C44)</f>
        <v>0</v>
      </c>
      <c r="I23" s="153">
        <f>SUM('крейзи консум новый'!X43:X44)</f>
        <v>0</v>
      </c>
      <c r="J23" s="153">
        <f>SUM('Общий чай'!S42:S43)*0.5</f>
        <v>0</v>
      </c>
      <c r="K23" s="25"/>
      <c r="L23" s="298">
        <f>D23+F23+G23+H23+I23+J23-K23</f>
        <v>0</v>
      </c>
      <c r="M23" s="25"/>
      <c r="N23" s="159"/>
      <c r="O23" s="296">
        <f t="shared" si="1"/>
        <v>0</v>
      </c>
      <c r="P23" s="161"/>
    </row>
    <row r="24" spans="1:27" ht="20.100000000000001" customHeight="1">
      <c r="A24" s="139" t="s">
        <v>157</v>
      </c>
      <c r="B24" s="142"/>
      <c r="C24" s="8"/>
      <c r="D24" s="153"/>
      <c r="E24" s="153"/>
      <c r="F24" s="153"/>
      <c r="G24" s="153"/>
      <c r="H24" s="153">
        <f>SUM('крейзи консум новый'!C45:C46)</f>
        <v>0</v>
      </c>
      <c r="I24" s="153">
        <f>SUM('крейзи консум новый'!X45:X46)</f>
        <v>0</v>
      </c>
      <c r="J24" s="153">
        <f>SUM('Общий чай'!S44:S45)*0.5</f>
        <v>0</v>
      </c>
      <c r="K24" s="25"/>
      <c r="L24" s="298">
        <f t="shared" si="0"/>
        <v>0</v>
      </c>
      <c r="M24" s="25"/>
      <c r="N24" s="159"/>
      <c r="O24" s="299">
        <f t="shared" si="1"/>
        <v>0</v>
      </c>
      <c r="P24" s="161"/>
    </row>
    <row r="25" spans="1:27" ht="20.100000000000001" customHeight="1">
      <c r="A25" s="139" t="s">
        <v>157</v>
      </c>
      <c r="B25" s="17"/>
      <c r="C25" s="8"/>
      <c r="D25" s="153"/>
      <c r="E25" s="153"/>
      <c r="F25" s="153"/>
      <c r="G25" s="153"/>
      <c r="H25" s="153">
        <f>SUM('крейзи консум новый'!C47:C48)</f>
        <v>0</v>
      </c>
      <c r="I25" s="153">
        <f>SUM('крейзи консум новый'!X47:X48)</f>
        <v>0</v>
      </c>
      <c r="J25" s="153">
        <f>SUM('Общий чай'!S46:S47)*0.5</f>
        <v>0</v>
      </c>
      <c r="K25" s="25"/>
      <c r="L25" s="298">
        <f t="shared" si="0"/>
        <v>0</v>
      </c>
      <c r="M25" s="25"/>
      <c r="N25" s="159"/>
      <c r="O25" s="296">
        <f t="shared" si="1"/>
        <v>0</v>
      </c>
      <c r="P25" s="161"/>
    </row>
    <row r="26" spans="1:27" ht="20.100000000000001" customHeight="1">
      <c r="A26" s="139" t="s">
        <v>157</v>
      </c>
      <c r="B26" s="142"/>
      <c r="C26" s="8"/>
      <c r="D26" s="153"/>
      <c r="E26" s="153"/>
      <c r="F26" s="153"/>
      <c r="G26" s="153"/>
      <c r="H26" s="153">
        <f>SUM('крейзи консум новый'!C49:C50)</f>
        <v>0</v>
      </c>
      <c r="I26" s="153">
        <f>SUM('крейзи консум новый'!X49:X50)</f>
        <v>0</v>
      </c>
      <c r="J26" s="153">
        <f>SUM('Общий чай'!S48:S49)*0.5</f>
        <v>0</v>
      </c>
      <c r="K26" s="25"/>
      <c r="L26" s="298">
        <f t="shared" si="0"/>
        <v>0</v>
      </c>
      <c r="M26" s="25"/>
      <c r="N26" s="159"/>
      <c r="O26" s="299">
        <f t="shared" si="1"/>
        <v>0</v>
      </c>
      <c r="P26" s="161"/>
    </row>
    <row r="27" spans="1:27" ht="20.100000000000001" customHeight="1">
      <c r="A27" s="139" t="s">
        <v>157</v>
      </c>
      <c r="B27" s="142"/>
      <c r="C27" s="8"/>
      <c r="D27" s="153"/>
      <c r="E27" s="153"/>
      <c r="F27" s="153"/>
      <c r="G27" s="143"/>
      <c r="H27" s="153">
        <f>SUM('крейзи консум новый'!C51:C52)</f>
        <v>0</v>
      </c>
      <c r="I27" s="153">
        <f>SUM('крейзи консум новый'!X51:X52)</f>
        <v>0</v>
      </c>
      <c r="J27" s="153">
        <f>SUM('Общий чай'!S50:S51)*0.5</f>
        <v>0</v>
      </c>
      <c r="K27" s="25"/>
      <c r="L27" s="298">
        <f t="shared" si="0"/>
        <v>0</v>
      </c>
      <c r="M27" s="25"/>
      <c r="N27" s="159"/>
      <c r="O27" s="296">
        <f t="shared" si="1"/>
        <v>0</v>
      </c>
      <c r="P27" s="161"/>
    </row>
    <row r="28" spans="1:27" ht="20.100000000000001" customHeight="1">
      <c r="A28" s="139" t="s">
        <v>157</v>
      </c>
      <c r="B28" s="142"/>
      <c r="C28" s="144"/>
      <c r="D28" s="153"/>
      <c r="E28" s="141"/>
      <c r="F28" s="141"/>
      <c r="G28" s="141"/>
      <c r="H28" s="141">
        <f>SUM('крейзи консум новый'!C53:C54)</f>
        <v>0</v>
      </c>
      <c r="I28" s="141">
        <f>SUM('крейзи консум новый'!X53:X54)</f>
        <v>0</v>
      </c>
      <c r="J28" s="141">
        <f>SUM('Общий чай'!S52:S53)*0.5</f>
        <v>0</v>
      </c>
      <c r="K28" s="163"/>
      <c r="L28" s="298">
        <f t="shared" si="0"/>
        <v>0</v>
      </c>
      <c r="M28" s="163"/>
      <c r="N28" s="162"/>
      <c r="O28" s="300">
        <f t="shared" si="1"/>
        <v>0</v>
      </c>
      <c r="P28" s="161"/>
    </row>
    <row r="29" spans="1:27" ht="20.100000000000001" customHeight="1">
      <c r="A29" s="413" t="s">
        <v>131</v>
      </c>
      <c r="B29" s="414"/>
      <c r="C29" s="414"/>
      <c r="D29" s="414"/>
      <c r="E29" s="414"/>
      <c r="F29" s="414"/>
      <c r="G29" s="414"/>
      <c r="H29" s="414"/>
      <c r="I29" s="414"/>
      <c r="J29" s="414"/>
      <c r="K29" s="414"/>
      <c r="L29" s="414"/>
      <c r="M29" s="414"/>
      <c r="N29" s="414"/>
      <c r="O29" s="415"/>
      <c r="P29" s="1"/>
    </row>
    <row r="30" spans="1:27" ht="20.100000000000001" customHeight="1">
      <c r="A30" s="145" t="s">
        <v>158</v>
      </c>
      <c r="B30" s="146">
        <v>3</v>
      </c>
      <c r="C30" s="147" t="s">
        <v>159</v>
      </c>
      <c r="D30" s="153">
        <v>1500</v>
      </c>
      <c r="E30" s="153"/>
      <c r="F30" s="153">
        <v>2400</v>
      </c>
      <c r="G30" s="153"/>
      <c r="H30" s="153">
        <f>SUM('крейзи консум новый'!C56:C57)</f>
        <v>0</v>
      </c>
      <c r="I30" s="153">
        <v>1050</v>
      </c>
      <c r="J30" s="153">
        <f>SUM('Общий чай'!S55:S56)*0.5</f>
        <v>1500</v>
      </c>
      <c r="K30" s="25"/>
      <c r="L30" s="301">
        <f>SUM(D30:J30)-K30</f>
        <v>6450</v>
      </c>
      <c r="M30" s="25">
        <v>1050</v>
      </c>
      <c r="N30" s="157">
        <v>400</v>
      </c>
      <c r="O30" s="297">
        <f t="shared" si="1"/>
        <v>5000</v>
      </c>
      <c r="P30" s="161"/>
    </row>
    <row r="31" spans="1:27" ht="20.100000000000001" customHeight="1">
      <c r="A31" s="145" t="s">
        <v>158</v>
      </c>
      <c r="B31" s="142">
        <v>4</v>
      </c>
      <c r="C31" s="8" t="s">
        <v>160</v>
      </c>
      <c r="D31" s="153">
        <v>1500</v>
      </c>
      <c r="E31" s="153"/>
      <c r="F31" s="153">
        <v>2400</v>
      </c>
      <c r="G31" s="153"/>
      <c r="H31" s="153">
        <f>SUM('крейзи консум новый'!C58:C59)</f>
        <v>0</v>
      </c>
      <c r="I31" s="153">
        <f>SUM('крейзи консум новый'!X58:X59)</f>
        <v>0</v>
      </c>
      <c r="J31" s="153">
        <f>SUM('Общий чай'!S57:S58)*0.5</f>
        <v>1250</v>
      </c>
      <c r="K31" s="25"/>
      <c r="L31" s="301">
        <f>SUM(D31:J31)-K31</f>
        <v>5150</v>
      </c>
      <c r="M31" s="25">
        <v>750</v>
      </c>
      <c r="N31" s="159">
        <v>4400</v>
      </c>
      <c r="O31" s="297">
        <f t="shared" si="1"/>
        <v>0</v>
      </c>
      <c r="P31" s="161"/>
    </row>
    <row r="32" spans="1:27" ht="20.100000000000001" customHeight="1">
      <c r="A32" s="145" t="s">
        <v>158</v>
      </c>
      <c r="B32" s="142"/>
      <c r="C32" s="8"/>
      <c r="D32" s="153"/>
      <c r="E32" s="153"/>
      <c r="F32" s="153"/>
      <c r="G32" s="153"/>
      <c r="H32" s="153">
        <f>SUM('крейзи консум новый'!C60:C61)</f>
        <v>0</v>
      </c>
      <c r="I32" s="153">
        <f>SUM('крейзи консум новый'!X60:X61)</f>
        <v>0</v>
      </c>
      <c r="J32" s="153">
        <f>SUM('Общий чай'!S59:S60)*0.5</f>
        <v>0</v>
      </c>
      <c r="K32" s="25"/>
      <c r="L32" s="301">
        <f t="shared" ref="L31:L37" si="2">SUM(D32:J32)-K32</f>
        <v>0</v>
      </c>
      <c r="M32" s="25"/>
      <c r="N32" s="159"/>
      <c r="O32" s="296">
        <f t="shared" si="1"/>
        <v>0</v>
      </c>
      <c r="P32" s="161"/>
    </row>
    <row r="33" spans="1:16" ht="20.100000000000001" customHeight="1">
      <c r="A33" s="145" t="s">
        <v>158</v>
      </c>
      <c r="B33" s="142"/>
      <c r="C33" s="8"/>
      <c r="D33" s="153"/>
      <c r="E33" s="153"/>
      <c r="F33" s="153"/>
      <c r="G33" s="153"/>
      <c r="H33" s="153">
        <f>SUM('крейзи консум новый'!C62:C63)</f>
        <v>0</v>
      </c>
      <c r="I33" s="153">
        <f>SUM('крейзи консум новый'!X62:X63)</f>
        <v>0</v>
      </c>
      <c r="J33" s="153">
        <f>SUM('Общий чай'!S61:S62)*0.5</f>
        <v>0</v>
      </c>
      <c r="K33" s="25"/>
      <c r="L33" s="301">
        <f t="shared" si="2"/>
        <v>0</v>
      </c>
      <c r="M33" s="25"/>
      <c r="N33" s="159"/>
      <c r="O33" s="299">
        <f t="shared" si="1"/>
        <v>0</v>
      </c>
      <c r="P33" s="161"/>
    </row>
    <row r="34" spans="1:16" ht="19.5" customHeight="1">
      <c r="A34" s="145" t="s">
        <v>158</v>
      </c>
      <c r="B34" s="142"/>
      <c r="C34" s="8"/>
      <c r="D34" s="153"/>
      <c r="E34" s="153"/>
      <c r="F34" s="153"/>
      <c r="G34" s="153"/>
      <c r="H34" s="153">
        <f>SUM('крейзи консум новый'!C64:C65)</f>
        <v>0</v>
      </c>
      <c r="I34" s="153">
        <f>SUM('крейзи консум новый'!X64:X65)</f>
        <v>0</v>
      </c>
      <c r="J34" s="153">
        <f>SUM('Общий чай'!S63:S64)*0.5</f>
        <v>0</v>
      </c>
      <c r="K34" s="25"/>
      <c r="L34" s="301">
        <f t="shared" si="2"/>
        <v>0</v>
      </c>
      <c r="M34" s="25"/>
      <c r="N34" s="159"/>
      <c r="O34" s="296">
        <f t="shared" si="1"/>
        <v>0</v>
      </c>
      <c r="P34" s="161"/>
    </row>
    <row r="35" spans="1:16" ht="19.5" customHeight="1">
      <c r="A35" s="145" t="s">
        <v>158</v>
      </c>
      <c r="B35" s="142"/>
      <c r="C35" s="8"/>
      <c r="D35" s="153"/>
      <c r="E35" s="153"/>
      <c r="F35" s="153"/>
      <c r="G35" s="153"/>
      <c r="H35" s="153">
        <f>SUM('крейзи консум новый'!C66:C67)</f>
        <v>0</v>
      </c>
      <c r="I35" s="153">
        <f>SUM('крейзи консум новый'!X66:X67)</f>
        <v>0</v>
      </c>
      <c r="J35" s="153">
        <f>SUM('Общий чай'!S65:S66)*0.5</f>
        <v>0</v>
      </c>
      <c r="K35" s="25"/>
      <c r="L35" s="301">
        <f t="shared" si="2"/>
        <v>0</v>
      </c>
      <c r="M35" s="25"/>
      <c r="N35" s="159"/>
      <c r="O35" s="299">
        <f t="shared" si="1"/>
        <v>0</v>
      </c>
      <c r="P35" s="161"/>
    </row>
    <row r="36" spans="1:16" ht="19.5" customHeight="1">
      <c r="A36" s="139" t="s">
        <v>158</v>
      </c>
      <c r="B36" s="142"/>
      <c r="C36" s="8"/>
      <c r="D36" s="153"/>
      <c r="E36" s="153"/>
      <c r="F36" s="153"/>
      <c r="G36" s="153"/>
      <c r="H36" s="153">
        <f>SUM('крейзи консум новый'!C68:C69)</f>
        <v>0</v>
      </c>
      <c r="I36" s="153">
        <f>SUM('крейзи консум новый'!X68:X69)</f>
        <v>0</v>
      </c>
      <c r="J36" s="153">
        <f>SUM('Общий чай'!S67:S68)*0.5</f>
        <v>0</v>
      </c>
      <c r="K36" s="25"/>
      <c r="L36" s="301">
        <f t="shared" si="2"/>
        <v>0</v>
      </c>
      <c r="M36" s="25"/>
      <c r="N36" s="159"/>
      <c r="O36" s="296">
        <f t="shared" si="1"/>
        <v>0</v>
      </c>
      <c r="P36" s="161"/>
    </row>
    <row r="37" spans="1:16" ht="19.5" customHeight="1">
      <c r="A37" s="139" t="s">
        <v>158</v>
      </c>
      <c r="B37" s="142"/>
      <c r="C37" s="144"/>
      <c r="D37" s="141"/>
      <c r="E37" s="141"/>
      <c r="F37" s="141"/>
      <c r="G37" s="141"/>
      <c r="H37" s="141">
        <f>SUM('крейзи консум новый'!C70:C71)</f>
        <v>0</v>
      </c>
      <c r="I37" s="141">
        <f>SUM('крейзи консум новый'!X70:X71)</f>
        <v>0</v>
      </c>
      <c r="J37" s="141">
        <f>SUM('Общий чай'!S69:S70)*0.5</f>
        <v>0</v>
      </c>
      <c r="K37" s="163"/>
      <c r="L37" s="301">
        <f t="shared" si="2"/>
        <v>0</v>
      </c>
      <c r="M37" s="163"/>
      <c r="N37" s="162"/>
      <c r="O37" s="300">
        <f t="shared" si="1"/>
        <v>0</v>
      </c>
      <c r="P37" s="161"/>
    </row>
    <row r="38" spans="1:16" ht="19.5" customHeight="1">
      <c r="A38" s="413" t="s">
        <v>133</v>
      </c>
      <c r="B38" s="414"/>
      <c r="C38" s="414"/>
      <c r="D38" s="414"/>
      <c r="E38" s="414"/>
      <c r="F38" s="414"/>
      <c r="G38" s="414"/>
      <c r="H38" s="414"/>
      <c r="I38" s="414"/>
      <c r="J38" s="414"/>
      <c r="K38" s="414"/>
      <c r="L38" s="414"/>
      <c r="M38" s="414"/>
      <c r="N38" s="414"/>
      <c r="O38" s="415"/>
      <c r="P38" s="161"/>
    </row>
    <row r="39" spans="1:16" ht="19.5" customHeight="1">
      <c r="A39" s="139" t="s">
        <v>161</v>
      </c>
      <c r="B39" s="142">
        <v>3</v>
      </c>
      <c r="C39" s="9" t="s">
        <v>162</v>
      </c>
      <c r="D39" s="12">
        <v>4000</v>
      </c>
      <c r="E39" s="153"/>
      <c r="F39" s="153"/>
      <c r="G39" s="153"/>
      <c r="H39" s="153">
        <f>SUM('крейзи консум новый'!C73:C74)</f>
        <v>0</v>
      </c>
      <c r="I39" s="153">
        <f>SUM('крейзи консум новый'!X73:X74)</f>
        <v>0</v>
      </c>
      <c r="J39" s="153">
        <f>SUM('Общий чай'!S72:S73)</f>
        <v>1000</v>
      </c>
      <c r="K39" s="25"/>
      <c r="L39" s="296">
        <f t="shared" si="0"/>
        <v>5000</v>
      </c>
      <c r="M39" s="25">
        <v>1000</v>
      </c>
      <c r="N39" s="157"/>
      <c r="O39" s="297">
        <f t="shared" si="1"/>
        <v>4000</v>
      </c>
      <c r="P39" s="161"/>
    </row>
    <row r="40" spans="1:16" ht="19.5" customHeight="1">
      <c r="A40" s="139" t="s">
        <v>161</v>
      </c>
      <c r="B40" s="142">
        <v>4</v>
      </c>
      <c r="C40" s="9" t="s">
        <v>163</v>
      </c>
      <c r="D40" s="12">
        <v>4000</v>
      </c>
      <c r="E40" s="148"/>
      <c r="F40" s="153"/>
      <c r="G40" s="153"/>
      <c r="H40" s="153">
        <f>SUM('крейзи консум новый'!C75:C76)</f>
        <v>0</v>
      </c>
      <c r="I40" s="153">
        <f>SUM('крейзи консум новый'!X75:X76)</f>
        <v>0</v>
      </c>
      <c r="J40" s="153">
        <f>SUM('Общий чай'!S74:S75)</f>
        <v>1500</v>
      </c>
      <c r="K40" s="25"/>
      <c r="L40" s="298">
        <f t="shared" si="0"/>
        <v>5500</v>
      </c>
      <c r="M40" s="25">
        <v>1500</v>
      </c>
      <c r="N40" s="159">
        <v>3000</v>
      </c>
      <c r="O40" s="299">
        <f t="shared" si="1"/>
        <v>1000</v>
      </c>
      <c r="P40" s="161"/>
    </row>
    <row r="41" spans="1:16" ht="19.5" customHeight="1">
      <c r="A41" s="139" t="s">
        <v>161</v>
      </c>
      <c r="B41" s="142"/>
      <c r="C41" s="10"/>
      <c r="D41" s="148"/>
      <c r="E41" s="148"/>
      <c r="F41" s="153"/>
      <c r="G41" s="153"/>
      <c r="H41" s="153">
        <f>SUM('крейзи консум новый'!C77:C78)</f>
        <v>0</v>
      </c>
      <c r="I41" s="153">
        <f>SUM('крейзи консум новый'!X77:X78)</f>
        <v>0</v>
      </c>
      <c r="J41" s="153">
        <f>SUM('Общий чай'!S76:S77)</f>
        <v>0</v>
      </c>
      <c r="K41" s="25"/>
      <c r="L41" s="298">
        <f t="shared" si="0"/>
        <v>0</v>
      </c>
      <c r="M41" s="25"/>
      <c r="N41" s="159"/>
      <c r="O41" s="299">
        <f t="shared" si="1"/>
        <v>0</v>
      </c>
      <c r="P41" s="161"/>
    </row>
    <row r="42" spans="1:16" ht="19.5" customHeight="1">
      <c r="A42" s="139" t="s">
        <v>161</v>
      </c>
      <c r="B42" s="142"/>
      <c r="C42" s="8"/>
      <c r="D42" s="153"/>
      <c r="E42" s="153"/>
      <c r="F42" s="153"/>
      <c r="G42" s="153"/>
      <c r="H42" s="153">
        <f>SUM('крейзи консум новый'!C79:C80)</f>
        <v>0</v>
      </c>
      <c r="I42" s="153">
        <f>SUM('крейзи консум новый'!X79:X80)</f>
        <v>0</v>
      </c>
      <c r="J42" s="153">
        <f>SUM('Общий чай'!S78:S79)</f>
        <v>0</v>
      </c>
      <c r="K42" s="25"/>
      <c r="L42" s="298">
        <f t="shared" si="0"/>
        <v>0</v>
      </c>
      <c r="M42" s="25"/>
      <c r="N42" s="159"/>
      <c r="O42" s="299">
        <f t="shared" si="1"/>
        <v>0</v>
      </c>
      <c r="P42" s="161"/>
    </row>
    <row r="43" spans="1:16" ht="16.5" customHeight="1">
      <c r="A43" s="139" t="s">
        <v>161</v>
      </c>
      <c r="B43" s="142"/>
      <c r="C43" s="8"/>
      <c r="D43" s="153"/>
      <c r="E43" s="153"/>
      <c r="F43" s="153"/>
      <c r="G43" s="153"/>
      <c r="H43" s="153">
        <f>SUM('крейзи консум новый'!C81:C82)</f>
        <v>0</v>
      </c>
      <c r="I43" s="153">
        <f>SUM('крейзи консум новый'!X81:X82)</f>
        <v>0</v>
      </c>
      <c r="J43" s="153">
        <f>SUM('Общий чай'!S80:S81)</f>
        <v>0</v>
      </c>
      <c r="K43" s="25"/>
      <c r="L43" s="298">
        <f t="shared" si="0"/>
        <v>0</v>
      </c>
      <c r="M43" s="25"/>
      <c r="N43" s="159"/>
      <c r="O43" s="299">
        <f t="shared" si="1"/>
        <v>0</v>
      </c>
      <c r="P43" s="164"/>
    </row>
    <row r="44" spans="1:16" ht="19.5" customHeight="1">
      <c r="A44" s="413" t="s">
        <v>164</v>
      </c>
      <c r="B44" s="414"/>
      <c r="C44" s="414"/>
      <c r="D44" s="414"/>
      <c r="E44" s="414"/>
      <c r="F44" s="414"/>
      <c r="G44" s="414"/>
      <c r="H44" s="414"/>
      <c r="I44" s="414"/>
      <c r="J44" s="414"/>
      <c r="K44" s="414"/>
      <c r="L44" s="414"/>
      <c r="M44" s="414"/>
      <c r="N44" s="414"/>
      <c r="O44" s="415"/>
      <c r="P44" s="164"/>
    </row>
    <row r="45" spans="1:16" ht="17.25" customHeight="1">
      <c r="A45" s="139"/>
      <c r="B45" s="149"/>
      <c r="C45" s="9"/>
      <c r="D45" s="153"/>
      <c r="E45" s="153"/>
      <c r="F45" s="153"/>
      <c r="G45" s="153"/>
      <c r="H45" s="153">
        <f>SUM('крейзи консум новый'!C84:C85)</f>
        <v>0</v>
      </c>
      <c r="I45" s="153">
        <f>SUM('крейзи консум новый'!X84:X85)</f>
        <v>0</v>
      </c>
      <c r="J45" s="153">
        <f>SUM('Общий чай'!S83:S84)*0.5</f>
        <v>0</v>
      </c>
      <c r="K45" s="25"/>
      <c r="L45" s="297">
        <f>D45+E45+F45+G45+H45+I45+J45-K45</f>
        <v>0</v>
      </c>
      <c r="M45" s="25"/>
      <c r="N45" s="157"/>
      <c r="O45" s="297">
        <f t="shared" ref="O45:O50" si="3">L45-M45-N45</f>
        <v>0</v>
      </c>
    </row>
    <row r="46" spans="1:16" ht="17.25" customHeight="1">
      <c r="A46" s="139"/>
      <c r="B46" s="149"/>
      <c r="C46" s="10"/>
      <c r="D46" s="153"/>
      <c r="E46" s="153"/>
      <c r="F46" s="153"/>
      <c r="G46" s="153"/>
      <c r="H46" s="153">
        <f>SUM('крейзи консум новый'!C86:C87)</f>
        <v>0</v>
      </c>
      <c r="I46" s="153">
        <f>SUM('крейзи консум новый'!X86:X87)</f>
        <v>0</v>
      </c>
      <c r="J46" s="153">
        <f>SUM('Общий чай'!S85:S86)</f>
        <v>0</v>
      </c>
      <c r="K46" s="25"/>
      <c r="L46" s="299">
        <f t="shared" ref="L46:L51" si="4">D46+E46+F46+G46+H46+I46+J46-K46</f>
        <v>0</v>
      </c>
      <c r="M46" s="25"/>
      <c r="N46" s="159"/>
      <c r="O46" s="299">
        <f t="shared" si="3"/>
        <v>0</v>
      </c>
    </row>
    <row r="47" spans="1:16" ht="15.75" customHeight="1">
      <c r="A47" s="139"/>
      <c r="B47" s="142"/>
      <c r="C47" s="8"/>
      <c r="D47" s="153"/>
      <c r="E47" s="153"/>
      <c r="F47" s="153"/>
      <c r="G47" s="153"/>
      <c r="H47" s="153">
        <f>SUM('крейзи консум новый'!C88:C89)</f>
        <v>0</v>
      </c>
      <c r="I47" s="153">
        <f>SUM('крейзи консум новый'!X88:X89)</f>
        <v>0</v>
      </c>
      <c r="J47" s="153">
        <f>SUM('Общий чай'!S87:S88)</f>
        <v>0</v>
      </c>
      <c r="K47" s="25"/>
      <c r="L47" s="299">
        <f t="shared" si="4"/>
        <v>0</v>
      </c>
      <c r="M47" s="25"/>
      <c r="N47" s="159"/>
      <c r="O47" s="299">
        <f t="shared" si="3"/>
        <v>0</v>
      </c>
    </row>
    <row r="48" spans="1:16" ht="15.75" customHeight="1">
      <c r="A48" s="139"/>
      <c r="B48" s="142"/>
      <c r="C48" s="8"/>
      <c r="D48" s="153"/>
      <c r="E48" s="153"/>
      <c r="F48" s="153"/>
      <c r="G48" s="153"/>
      <c r="H48" s="153">
        <f>SUM('крейзи консум новый'!C90:C91)</f>
        <v>0</v>
      </c>
      <c r="I48" s="153">
        <f>SUM('крейзи консум новый'!X90:X91)</f>
        <v>0</v>
      </c>
      <c r="J48" s="153">
        <f>SUM('Общий чай'!S89:S90)</f>
        <v>0</v>
      </c>
      <c r="K48" s="25"/>
      <c r="L48" s="299">
        <f>D48+E48+F48+G48+H48+I48+J48-K48</f>
        <v>0</v>
      </c>
      <c r="M48" s="25"/>
      <c r="N48" s="159"/>
      <c r="O48" s="299">
        <f t="shared" si="3"/>
        <v>0</v>
      </c>
    </row>
    <row r="49" spans="1:16" ht="16.5" customHeight="1">
      <c r="A49" s="139" t="s">
        <v>165</v>
      </c>
      <c r="B49" s="142">
        <v>1</v>
      </c>
      <c r="C49" s="8" t="s">
        <v>166</v>
      </c>
      <c r="D49" s="153"/>
      <c r="E49" s="153"/>
      <c r="F49" s="153"/>
      <c r="G49" s="153"/>
      <c r="H49" s="153">
        <f>SUM('крейзи консум новый'!C92:C93)</f>
        <v>0</v>
      </c>
      <c r="I49" s="153">
        <f>SUM('крейзи консум новый'!X92:X93)</f>
        <v>0</v>
      </c>
      <c r="J49" s="153">
        <f>SUM('Общий чай'!S91:S92)</f>
        <v>2500</v>
      </c>
      <c r="K49" s="25"/>
      <c r="L49" s="299">
        <f t="shared" si="4"/>
        <v>2500</v>
      </c>
      <c r="M49" s="25">
        <v>2500</v>
      </c>
      <c r="N49" s="159"/>
      <c r="O49" s="299">
        <f t="shared" si="3"/>
        <v>0</v>
      </c>
    </row>
    <row r="50" spans="1:16" ht="16.5" customHeight="1">
      <c r="A50" s="139" t="s">
        <v>165</v>
      </c>
      <c r="B50" s="142">
        <v>17</v>
      </c>
      <c r="C50" s="8" t="s">
        <v>167</v>
      </c>
      <c r="D50" s="153"/>
      <c r="E50" s="153"/>
      <c r="F50" s="153"/>
      <c r="G50" s="153"/>
      <c r="H50" s="153">
        <f>SUM('крейзи консум новый'!C94:C95)</f>
        <v>0</v>
      </c>
      <c r="I50" s="153">
        <f>SUM('крейзи консум новый'!X94:X95)</f>
        <v>0</v>
      </c>
      <c r="J50" s="153">
        <f>SUM('Общий чай'!S93:S94)</f>
        <v>3500</v>
      </c>
      <c r="K50" s="25"/>
      <c r="L50" s="299">
        <f>D50+E50+F50+G50+H50+I50+J50-K50</f>
        <v>3500</v>
      </c>
      <c r="M50" s="25">
        <v>3500</v>
      </c>
      <c r="N50" s="159"/>
      <c r="O50" s="299">
        <f t="shared" si="3"/>
        <v>0</v>
      </c>
    </row>
    <row r="51" spans="1:16" ht="17.25" customHeight="1">
      <c r="A51" s="139" t="s">
        <v>165</v>
      </c>
      <c r="B51" s="142">
        <v>15</v>
      </c>
      <c r="C51" s="150" t="s">
        <v>168</v>
      </c>
      <c r="D51" s="151"/>
      <c r="E51" s="151"/>
      <c r="F51" s="151"/>
      <c r="G51" s="151"/>
      <c r="H51" s="151">
        <f>SUM('крейзи консум новый'!C96:C97)</f>
        <v>0</v>
      </c>
      <c r="I51" s="151">
        <f>SUM('крейзи консум новый'!X96:X97)</f>
        <v>0</v>
      </c>
      <c r="J51" s="151">
        <f>SUM('Общий чай'!S95:S96)</f>
        <v>1000</v>
      </c>
      <c r="K51" s="165"/>
      <c r="L51" s="300">
        <f t="shared" si="4"/>
        <v>1000</v>
      </c>
      <c r="M51" s="165">
        <v>1000</v>
      </c>
      <c r="N51" s="166"/>
      <c r="O51" s="302">
        <f t="shared" si="1"/>
        <v>0</v>
      </c>
    </row>
    <row r="52" spans="1:16" ht="15" customHeight="1">
      <c r="A52" s="139" t="s">
        <v>169</v>
      </c>
      <c r="B52" s="142">
        <v>4</v>
      </c>
      <c r="C52" s="147" t="s">
        <v>170</v>
      </c>
      <c r="D52" s="152">
        <v>3500</v>
      </c>
      <c r="E52" s="153"/>
      <c r="F52" s="153">
        <v>500</v>
      </c>
      <c r="G52" s="153"/>
      <c r="H52" s="153">
        <f>SUM('крейзи консум новый'!C99:C100)</f>
        <v>0</v>
      </c>
      <c r="I52" s="153">
        <f>SUM('крейзи консум новый'!X99:X100)</f>
        <v>600</v>
      </c>
      <c r="J52" s="153">
        <f>SUM('Общий чай'!S98:S99)</f>
        <v>1000</v>
      </c>
      <c r="K52" s="25"/>
      <c r="L52" s="301">
        <f>SUM(D52:J52)-K52</f>
        <v>5600</v>
      </c>
      <c r="M52" s="25">
        <v>1600</v>
      </c>
      <c r="N52" s="157">
        <v>4000</v>
      </c>
      <c r="O52" s="297">
        <f t="shared" si="1"/>
        <v>0</v>
      </c>
      <c r="P52" s="1"/>
    </row>
    <row r="53" spans="1:16" ht="15" customHeight="1">
      <c r="A53" s="139" t="s">
        <v>169</v>
      </c>
      <c r="B53" s="142">
        <v>52</v>
      </c>
      <c r="C53" s="154" t="s">
        <v>171</v>
      </c>
      <c r="D53" s="153">
        <v>3500</v>
      </c>
      <c r="E53" s="153"/>
      <c r="F53" s="153">
        <v>500</v>
      </c>
      <c r="G53" s="153"/>
      <c r="H53" s="153">
        <f>SUM('крейзи консум новый'!C101:C102)</f>
        <v>0</v>
      </c>
      <c r="I53" s="153">
        <f>SUM('крейзи консум новый'!X101:X102)</f>
        <v>0</v>
      </c>
      <c r="J53" s="153">
        <f>SUM('Общий чай'!S100:S101)</f>
        <v>3000</v>
      </c>
      <c r="K53" s="25"/>
      <c r="L53" s="301">
        <f t="shared" ref="L53:L63" si="5">SUM(D53:J53)-K53</f>
        <v>7000</v>
      </c>
      <c r="M53" s="25">
        <v>3000</v>
      </c>
      <c r="N53" s="159">
        <v>4000</v>
      </c>
      <c r="O53" s="299">
        <f t="shared" si="1"/>
        <v>0</v>
      </c>
    </row>
    <row r="54" spans="1:16" ht="15" customHeight="1">
      <c r="A54" s="139" t="s">
        <v>169</v>
      </c>
      <c r="B54" s="142"/>
      <c r="C54" s="154"/>
      <c r="D54" s="153"/>
      <c r="E54" s="153"/>
      <c r="F54" s="153"/>
      <c r="G54" s="153"/>
      <c r="H54" s="153">
        <f>SUM('крейзи консум новый'!C103:C104)</f>
        <v>0</v>
      </c>
      <c r="I54" s="153">
        <f>SUM('крейзи консум новый'!X103:X104)</f>
        <v>0</v>
      </c>
      <c r="J54" s="153">
        <f>SUM('Общий чай'!S102:S103)</f>
        <v>0</v>
      </c>
      <c r="K54" s="25"/>
      <c r="L54" s="301">
        <f t="shared" si="5"/>
        <v>0</v>
      </c>
      <c r="M54" s="25"/>
      <c r="N54" s="159"/>
      <c r="O54" s="299">
        <f t="shared" si="1"/>
        <v>0</v>
      </c>
    </row>
    <row r="55" spans="1:16" ht="15" customHeight="1">
      <c r="A55" s="139" t="s">
        <v>169</v>
      </c>
      <c r="B55" s="142"/>
      <c r="C55" s="154"/>
      <c r="D55" s="153"/>
      <c r="E55" s="153"/>
      <c r="F55" s="153"/>
      <c r="G55" s="153"/>
      <c r="H55" s="153">
        <f>SUM('крейзи консум новый'!C105:C106)</f>
        <v>0</v>
      </c>
      <c r="I55" s="153">
        <f>SUM('крейзи консум новый'!X105:X106)</f>
        <v>0</v>
      </c>
      <c r="J55" s="153">
        <f>SUM('Общий чай'!S104:S105)</f>
        <v>0</v>
      </c>
      <c r="K55" s="25"/>
      <c r="L55" s="301">
        <f t="shared" si="5"/>
        <v>0</v>
      </c>
      <c r="M55" s="25"/>
      <c r="N55" s="159"/>
      <c r="O55" s="299">
        <f t="shared" si="1"/>
        <v>0</v>
      </c>
    </row>
    <row r="56" spans="1:16" ht="15" customHeight="1">
      <c r="A56" s="139" t="s">
        <v>172</v>
      </c>
      <c r="B56" s="142">
        <v>21</v>
      </c>
      <c r="C56" s="154" t="s">
        <v>173</v>
      </c>
      <c r="D56" s="153"/>
      <c r="E56" s="148"/>
      <c r="F56" s="153"/>
      <c r="G56" s="153"/>
      <c r="H56" s="153">
        <f>SUM('крейзи консум новый'!C107:C108)</f>
        <v>0</v>
      </c>
      <c r="I56" s="153">
        <f>SUM('крейзи консум новый'!X107:X108)</f>
        <v>10400</v>
      </c>
      <c r="J56" s="153">
        <f>SUM('Общий чай'!S106:S107)</f>
        <v>2000</v>
      </c>
      <c r="K56" s="25"/>
      <c r="L56" s="301">
        <f t="shared" si="5"/>
        <v>12400</v>
      </c>
      <c r="M56" s="25">
        <v>4700</v>
      </c>
      <c r="N56" s="159">
        <v>7700</v>
      </c>
      <c r="O56" s="299">
        <f t="shared" ref="O56:O57" si="6">L56-M56-N56</f>
        <v>0</v>
      </c>
    </row>
    <row r="57" spans="1:16" ht="15" customHeight="1">
      <c r="A57" s="139" t="s">
        <v>172</v>
      </c>
      <c r="B57" s="142"/>
      <c r="C57" s="10"/>
      <c r="D57" s="12"/>
      <c r="E57" s="148"/>
      <c r="F57" s="153"/>
      <c r="G57" s="153"/>
      <c r="H57" s="153">
        <f>SUM('крейзи консум новый'!C109:C110)</f>
        <v>0</v>
      </c>
      <c r="I57" s="153">
        <f>SUM('крейзи консум новый'!X109:X110)</f>
        <v>0</v>
      </c>
      <c r="J57" s="153">
        <f>SUM('Общий чай'!S108:S109)</f>
        <v>0</v>
      </c>
      <c r="K57" s="25"/>
      <c r="L57" s="301">
        <f t="shared" si="5"/>
        <v>0</v>
      </c>
      <c r="M57" s="25"/>
      <c r="N57" s="159"/>
      <c r="O57" s="299">
        <f t="shared" si="6"/>
        <v>0</v>
      </c>
    </row>
    <row r="58" spans="1:16" ht="15.75" customHeight="1">
      <c r="A58" s="139" t="s">
        <v>174</v>
      </c>
      <c r="B58" s="142">
        <v>14</v>
      </c>
      <c r="C58" s="8" t="s">
        <v>175</v>
      </c>
      <c r="D58" s="12">
        <v>3000</v>
      </c>
      <c r="E58" s="148"/>
      <c r="F58" s="153"/>
      <c r="G58" s="153"/>
      <c r="H58" s="153">
        <f>SUM('крейзи консум новый'!C111:C112)</f>
        <v>0</v>
      </c>
      <c r="I58" s="153">
        <f>SUM('крейзи консум новый'!X111:X112)</f>
        <v>0</v>
      </c>
      <c r="J58" s="153">
        <f>SUM('Общий чай'!S110:S111)</f>
        <v>4200</v>
      </c>
      <c r="K58" s="25"/>
      <c r="L58" s="301">
        <f t="shared" si="5"/>
        <v>7200</v>
      </c>
      <c r="M58" s="25">
        <v>3000</v>
      </c>
      <c r="N58" s="159">
        <v>4200</v>
      </c>
      <c r="O58" s="299">
        <f t="shared" ref="O58:O67" si="7">L58-M58-N58</f>
        <v>0</v>
      </c>
    </row>
    <row r="59" spans="1:16" ht="16.5" customHeight="1">
      <c r="A59" s="139" t="s">
        <v>176</v>
      </c>
      <c r="B59" s="142">
        <v>69</v>
      </c>
      <c r="C59" s="9" t="s">
        <v>177</v>
      </c>
      <c r="D59" s="148">
        <v>4000</v>
      </c>
      <c r="E59" s="148"/>
      <c r="F59" s="153">
        <v>150</v>
      </c>
      <c r="G59" s="153"/>
      <c r="H59" s="153">
        <f>SUM('крейзи консум новый'!C113:C114)</f>
        <v>0</v>
      </c>
      <c r="I59" s="153">
        <f>SUM('крейзи консум новый'!X113:X114)</f>
        <v>0</v>
      </c>
      <c r="J59" s="153">
        <f>SUM('Общий чай'!S112:S113)</f>
        <v>6350</v>
      </c>
      <c r="K59" s="25"/>
      <c r="L59" s="301">
        <f t="shared" si="5"/>
        <v>10500</v>
      </c>
      <c r="M59" s="25">
        <v>5850</v>
      </c>
      <c r="N59" s="159"/>
      <c r="O59" s="299">
        <f t="shared" si="7"/>
        <v>4650</v>
      </c>
    </row>
    <row r="60" spans="1:16" ht="18" customHeight="1">
      <c r="A60" s="139" t="s">
        <v>178</v>
      </c>
      <c r="B60" s="142">
        <v>17</v>
      </c>
      <c r="C60" s="10" t="s">
        <v>179</v>
      </c>
      <c r="D60" s="153">
        <v>15000</v>
      </c>
      <c r="E60" s="148"/>
      <c r="F60" s="153"/>
      <c r="G60" s="153"/>
      <c r="H60" s="153">
        <f>SUM('крейзи консум новый'!C115:C116)</f>
        <v>0</v>
      </c>
      <c r="I60" s="153">
        <f>SUM('крейзи консум новый'!X115:X116)</f>
        <v>0</v>
      </c>
      <c r="J60" s="167">
        <v>16550</v>
      </c>
      <c r="K60" s="25"/>
      <c r="L60" s="301">
        <f>SUM(D60:J60)-K60</f>
        <v>31550</v>
      </c>
      <c r="M60" s="25">
        <v>14850</v>
      </c>
      <c r="N60" s="159">
        <v>16700</v>
      </c>
      <c r="O60" s="299">
        <f t="shared" si="7"/>
        <v>0</v>
      </c>
    </row>
    <row r="61" spans="1:16" ht="17.25" customHeight="1">
      <c r="A61" s="139" t="s">
        <v>178</v>
      </c>
      <c r="B61" s="142"/>
      <c r="C61" s="8"/>
      <c r="D61" s="153"/>
      <c r="E61" s="148"/>
      <c r="F61" s="153"/>
      <c r="G61" s="153"/>
      <c r="H61" s="153">
        <f>SUM('крейзи консум новый'!C117:C118)</f>
        <v>0</v>
      </c>
      <c r="I61" s="153">
        <f>SUM('крейзи консум новый'!X117:X118)</f>
        <v>0</v>
      </c>
      <c r="J61" s="167">
        <f>SUM('Общий чай'!S116:S117)</f>
        <v>0</v>
      </c>
      <c r="K61" s="25"/>
      <c r="L61" s="301">
        <f t="shared" si="5"/>
        <v>0</v>
      </c>
      <c r="M61" s="25"/>
      <c r="N61" s="159"/>
      <c r="O61" s="299">
        <f t="shared" si="7"/>
        <v>0</v>
      </c>
    </row>
    <row r="62" spans="1:16" ht="16.5" customHeight="1">
      <c r="A62" s="139" t="s">
        <v>180</v>
      </c>
      <c r="B62" s="142"/>
      <c r="C62" s="8"/>
      <c r="D62" s="12"/>
      <c r="E62" s="148"/>
      <c r="F62" s="153"/>
      <c r="G62" s="153"/>
      <c r="H62" s="153">
        <f>SUM('крейзи консум новый'!C119:C120)</f>
        <v>0</v>
      </c>
      <c r="I62" s="153">
        <f>SUM('крейзи консум новый'!X119:X120)</f>
        <v>0</v>
      </c>
      <c r="J62" s="167">
        <f>SUM('Общий чай'!S118:S119)*0.5</f>
        <v>0</v>
      </c>
      <c r="K62" s="25"/>
      <c r="L62" s="301">
        <f>SUM(D62:J62)-K62</f>
        <v>0</v>
      </c>
      <c r="M62" s="25"/>
      <c r="N62" s="159"/>
      <c r="O62" s="299">
        <f t="shared" si="7"/>
        <v>0</v>
      </c>
    </row>
    <row r="63" spans="1:16" ht="16.5" customHeight="1">
      <c r="A63" s="139" t="s">
        <v>180</v>
      </c>
      <c r="B63" s="142"/>
      <c r="C63" s="8"/>
      <c r="D63" s="148"/>
      <c r="E63" s="148"/>
      <c r="F63" s="153"/>
      <c r="G63" s="153"/>
      <c r="H63" s="153">
        <f>SUM('крейзи консум новый'!C121:C122)</f>
        <v>0</v>
      </c>
      <c r="I63" s="153">
        <f>SUM('крейзи консум новый'!X121:X122)</f>
        <v>0</v>
      </c>
      <c r="J63" s="167">
        <f>SUM('Общий чай'!S120:S121)*0.5</f>
        <v>0</v>
      </c>
      <c r="K63" s="25"/>
      <c r="L63" s="301">
        <f>SUM(D63:J63)-K63</f>
        <v>0</v>
      </c>
      <c r="M63" s="25"/>
      <c r="N63" s="159"/>
      <c r="O63" s="299">
        <f t="shared" si="7"/>
        <v>0</v>
      </c>
    </row>
    <row r="64" spans="1:16" ht="16.5" customHeight="1">
      <c r="A64" s="139" t="s">
        <v>181</v>
      </c>
      <c r="B64" s="142"/>
      <c r="C64" s="8" t="s">
        <v>182</v>
      </c>
      <c r="D64" s="153">
        <v>4000</v>
      </c>
      <c r="E64" s="153"/>
      <c r="F64" s="153"/>
      <c r="G64" s="595">
        <v>2700</v>
      </c>
      <c r="H64" s="153">
        <f>SUM('крейзи консум новый'!C123:C124)</f>
        <v>0</v>
      </c>
      <c r="I64" s="153">
        <f>SUM('крейзи консум новый'!X123:X124)</f>
        <v>0</v>
      </c>
      <c r="J64" s="167">
        <f>SUM('Общий чай'!S122:S123)</f>
        <v>1600</v>
      </c>
      <c r="K64" s="25"/>
      <c r="L64" s="298">
        <f t="shared" ref="L64:L67" si="8">D64+G64+H64+I64+J64-K64</f>
        <v>8300</v>
      </c>
      <c r="M64" s="25">
        <v>2950</v>
      </c>
      <c r="N64" s="159">
        <v>350</v>
      </c>
      <c r="O64" s="299">
        <f t="shared" si="7"/>
        <v>5000</v>
      </c>
      <c r="P64" s="596" t="s">
        <v>183</v>
      </c>
    </row>
    <row r="65" spans="1:16" ht="15.75" customHeight="1">
      <c r="A65" s="139" t="s">
        <v>181</v>
      </c>
      <c r="B65" s="142"/>
      <c r="C65" s="8" t="s">
        <v>184</v>
      </c>
      <c r="D65" s="153">
        <v>4000</v>
      </c>
      <c r="E65" s="153"/>
      <c r="F65" s="153"/>
      <c r="G65" s="595">
        <v>2650</v>
      </c>
      <c r="H65" s="153">
        <f>SUM('крейзи консум новый'!C125:C126)</f>
        <v>0</v>
      </c>
      <c r="I65" s="153">
        <f>SUM('крейзи консум новый'!X125:X126)</f>
        <v>0</v>
      </c>
      <c r="J65" s="167">
        <f>SUM('Общий чай'!S124:S125)</f>
        <v>1600</v>
      </c>
      <c r="K65" s="25"/>
      <c r="L65" s="298">
        <f t="shared" si="8"/>
        <v>8250</v>
      </c>
      <c r="M65" s="25">
        <v>2900</v>
      </c>
      <c r="N65" s="159">
        <v>350</v>
      </c>
      <c r="O65" s="299">
        <f t="shared" si="7"/>
        <v>5000</v>
      </c>
      <c r="P65" s="596" t="s">
        <v>185</v>
      </c>
    </row>
    <row r="66" spans="1:16" ht="15.95" customHeight="1">
      <c r="A66" s="139" t="s">
        <v>181</v>
      </c>
      <c r="B66" s="142"/>
      <c r="C66" s="8" t="s">
        <v>186</v>
      </c>
      <c r="D66" s="153">
        <v>4000</v>
      </c>
      <c r="E66" s="153"/>
      <c r="F66" s="153"/>
      <c r="G66" s="595">
        <v>2650</v>
      </c>
      <c r="H66" s="153">
        <f>SUM('крейзи консум новый'!C127:C128)</f>
        <v>0</v>
      </c>
      <c r="I66" s="153">
        <f>SUM('крейзи консум новый'!X127:X128)</f>
        <v>0</v>
      </c>
      <c r="J66" s="167">
        <f>SUM('Общий чай'!S125:S126)</f>
        <v>1650</v>
      </c>
      <c r="K66" s="25"/>
      <c r="L66" s="298">
        <f>D66+G66+H66+I66+J66-K66</f>
        <v>8300</v>
      </c>
      <c r="M66" s="25">
        <v>3000</v>
      </c>
      <c r="N66" s="159">
        <v>300</v>
      </c>
      <c r="O66" s="299">
        <f t="shared" si="7"/>
        <v>5000</v>
      </c>
      <c r="P66" s="596" t="s">
        <v>187</v>
      </c>
    </row>
    <row r="67" spans="1:16" ht="18" customHeight="1">
      <c r="A67" s="139"/>
      <c r="B67" s="142"/>
      <c r="C67" s="8" t="s">
        <v>188</v>
      </c>
      <c r="D67" s="153">
        <v>2000</v>
      </c>
      <c r="E67" s="153"/>
      <c r="F67" s="153"/>
      <c r="G67" s="153"/>
      <c r="H67" s="153"/>
      <c r="I67" s="153"/>
      <c r="J67" s="153"/>
      <c r="K67" s="25"/>
      <c r="L67" s="298">
        <f t="shared" si="8"/>
        <v>2000</v>
      </c>
      <c r="M67" s="25"/>
      <c r="N67" s="159"/>
      <c r="O67" s="299">
        <f t="shared" si="7"/>
        <v>2000</v>
      </c>
    </row>
    <row r="68" spans="1:16" ht="18" customHeight="1">
      <c r="A68" s="172" t="s">
        <v>189</v>
      </c>
      <c r="B68" s="173"/>
      <c r="C68" s="174"/>
      <c r="D68" s="34">
        <f>SUM(D2:D67)</f>
        <v>61500</v>
      </c>
      <c r="E68" s="175">
        <f>SUM(E3:E67)</f>
        <v>0</v>
      </c>
      <c r="F68" s="175">
        <f>SUM(F19:F65)</f>
        <v>5950</v>
      </c>
      <c r="G68" s="34">
        <f>SUM(G2:G67)</f>
        <v>8000</v>
      </c>
      <c r="H68" s="34">
        <f>SUM(H2:H67)</f>
        <v>108600</v>
      </c>
      <c r="I68" s="34">
        <f>SUM(I2:I67)</f>
        <v>21900</v>
      </c>
      <c r="J68" s="34">
        <f>SUM(J2:J67)</f>
        <v>68450</v>
      </c>
      <c r="K68" s="34">
        <f>SUM(K2:K67)</f>
        <v>0</v>
      </c>
      <c r="L68" s="303">
        <f>SUM(L2:L67)</f>
        <v>274400</v>
      </c>
      <c r="M68" s="34">
        <f>SUM(M2:M67)</f>
        <v>169750</v>
      </c>
      <c r="N68" s="209">
        <f>SUM(N2:N67)</f>
        <v>73000</v>
      </c>
      <c r="O68" s="304">
        <f>SUM(O2:O67)</f>
        <v>31650</v>
      </c>
    </row>
    <row r="69" spans="1:16" ht="15.75">
      <c r="A69" s="176"/>
      <c r="B69" s="177"/>
      <c r="C69" s="178" t="s">
        <v>190</v>
      </c>
      <c r="D69" s="179">
        <v>50500</v>
      </c>
      <c r="E69" s="179"/>
      <c r="F69" s="180"/>
      <c r="G69" s="181"/>
      <c r="H69" s="181"/>
      <c r="I69" s="181"/>
      <c r="J69" s="181"/>
      <c r="K69" s="181"/>
      <c r="L69" s="181"/>
      <c r="M69" s="181"/>
      <c r="N69" s="210">
        <f>SUM(D69)</f>
        <v>50500</v>
      </c>
      <c r="O69" s="211"/>
    </row>
    <row r="70" spans="1:16" ht="13.5" customHeight="1">
      <c r="A70" s="182"/>
      <c r="B70" s="183"/>
      <c r="C70" s="184" t="s">
        <v>191</v>
      </c>
      <c r="D70" s="185"/>
      <c r="E70" s="185"/>
      <c r="F70" s="185"/>
      <c r="G70" s="186"/>
      <c r="H70" s="186"/>
      <c r="I70" s="212"/>
      <c r="J70" s="186"/>
      <c r="K70" s="186"/>
      <c r="L70" s="212"/>
      <c r="M70" s="212"/>
      <c r="N70" s="212"/>
      <c r="O70" s="211">
        <f>SUM(D70:N70)</f>
        <v>0</v>
      </c>
    </row>
    <row r="71" spans="1:16" ht="13.5" customHeight="1">
      <c r="A71" s="187"/>
      <c r="B71" s="188"/>
      <c r="C71" s="189" t="s">
        <v>78</v>
      </c>
      <c r="D71" s="190"/>
      <c r="E71" s="190"/>
      <c r="F71" s="190"/>
      <c r="G71" s="191"/>
      <c r="H71" s="191"/>
      <c r="I71" s="191"/>
      <c r="J71" s="191"/>
      <c r="K71" s="191"/>
      <c r="L71" s="191"/>
      <c r="M71" s="191"/>
      <c r="N71" s="191"/>
      <c r="O71" s="211">
        <f>SUM(D71:N71)</f>
        <v>0</v>
      </c>
    </row>
    <row r="72" spans="1:16" ht="13.5" customHeight="1">
      <c r="A72" s="187"/>
      <c r="B72" s="188"/>
      <c r="C72" s="189" t="s">
        <v>192</v>
      </c>
      <c r="D72" s="190"/>
      <c r="E72" s="190"/>
      <c r="F72" s="190"/>
      <c r="G72" s="191"/>
      <c r="H72" s="191"/>
      <c r="I72" s="191"/>
      <c r="J72" s="191"/>
      <c r="K72" s="191"/>
      <c r="L72" s="191"/>
      <c r="M72" s="191"/>
      <c r="N72" s="191"/>
      <c r="O72" s="211">
        <f>SUM(D72:N72)</f>
        <v>0</v>
      </c>
    </row>
    <row r="73" spans="1:16" ht="13.5" customHeight="1">
      <c r="A73" s="187"/>
      <c r="B73" s="188"/>
      <c r="C73" s="189" t="s">
        <v>193</v>
      </c>
      <c r="D73" s="190">
        <v>300</v>
      </c>
      <c r="E73" s="190"/>
      <c r="F73" s="190"/>
      <c r="G73" s="191"/>
      <c r="H73" s="191"/>
      <c r="I73" s="191"/>
      <c r="J73" s="191"/>
      <c r="K73" s="191"/>
      <c r="L73" s="191"/>
      <c r="M73" s="191"/>
      <c r="N73" s="191">
        <f>SUM(D73)</f>
        <v>300</v>
      </c>
      <c r="O73" s="211"/>
      <c r="P73" s="1"/>
    </row>
    <row r="74" spans="1:16" ht="15.75" customHeight="1">
      <c r="A74" s="187"/>
      <c r="B74" s="188"/>
      <c r="C74" s="189" t="s">
        <v>194</v>
      </c>
      <c r="D74" s="190">
        <v>1000</v>
      </c>
      <c r="E74" s="190"/>
      <c r="F74" s="190"/>
      <c r="G74" s="191"/>
      <c r="H74" s="191"/>
      <c r="I74" s="191"/>
      <c r="J74" s="191"/>
      <c r="K74" s="191"/>
      <c r="L74" s="191"/>
      <c r="M74" s="191"/>
      <c r="N74" s="191">
        <f>SUM(D74)</f>
        <v>1000</v>
      </c>
      <c r="O74" s="211"/>
    </row>
    <row r="75" spans="1:16" ht="15.75">
      <c r="A75" s="187"/>
      <c r="B75" s="188"/>
      <c r="C75" s="189" t="s">
        <v>195</v>
      </c>
      <c r="D75" s="190">
        <v>11100</v>
      </c>
      <c r="E75" s="190"/>
      <c r="F75" s="190"/>
      <c r="G75" s="191"/>
      <c r="H75" s="191"/>
      <c r="I75" s="191"/>
      <c r="J75" s="191"/>
      <c r="K75" s="191"/>
      <c r="L75" s="191"/>
      <c r="M75" s="191"/>
      <c r="N75" s="191">
        <f>SUM(D75)</f>
        <v>11100</v>
      </c>
      <c r="O75" s="211"/>
    </row>
    <row r="76" spans="1:16" ht="15.75">
      <c r="A76" s="187"/>
      <c r="B76" s="188"/>
      <c r="C76" s="189" t="s">
        <v>97</v>
      </c>
      <c r="D76" s="190"/>
      <c r="E76" s="190"/>
      <c r="F76" s="190"/>
      <c r="G76" s="191"/>
      <c r="H76" s="191"/>
      <c r="I76" s="191"/>
      <c r="J76" s="191"/>
      <c r="K76" s="191"/>
      <c r="L76" s="191"/>
      <c r="M76" s="191"/>
      <c r="N76" s="191">
        <f>SUM(D76)</f>
        <v>0</v>
      </c>
      <c r="O76" s="211"/>
    </row>
    <row r="77" spans="1:16">
      <c r="A77" s="187"/>
      <c r="B77" s="188"/>
      <c r="C77" s="192"/>
      <c r="D77" s="190"/>
      <c r="E77" s="190"/>
      <c r="F77" s="190"/>
      <c r="G77" s="191"/>
      <c r="H77" s="191"/>
      <c r="I77" s="191"/>
      <c r="J77" s="191"/>
      <c r="K77" s="191"/>
      <c r="L77" s="191"/>
      <c r="M77" s="191"/>
      <c r="N77" s="191"/>
      <c r="O77" s="211">
        <f>SUM(D77:N77)</f>
        <v>0</v>
      </c>
    </row>
    <row r="78" spans="1:16" ht="13.9">
      <c r="A78" s="187"/>
      <c r="B78" s="188"/>
      <c r="C78" s="192"/>
      <c r="D78" s="193"/>
      <c r="E78" s="193"/>
      <c r="F78" s="193"/>
      <c r="G78" s="194"/>
      <c r="H78" s="194"/>
      <c r="I78" s="194"/>
      <c r="J78" s="194"/>
      <c r="K78" s="194"/>
      <c r="L78" s="194"/>
      <c r="M78" s="194"/>
      <c r="N78" s="194"/>
      <c r="O78" s="211">
        <f>SUM(D78:N78)</f>
        <v>0</v>
      </c>
      <c r="P78" s="1" t="s">
        <v>196</v>
      </c>
    </row>
    <row r="79" spans="1:16" ht="13.9">
      <c r="A79" s="195" t="s">
        <v>197</v>
      </c>
      <c r="B79" s="196"/>
      <c r="C79" s="197">
        <v>125550</v>
      </c>
      <c r="D79" s="198"/>
      <c r="E79" s="198"/>
      <c r="F79" s="198"/>
      <c r="G79" s="198"/>
      <c r="H79" s="198"/>
      <c r="I79" s="198"/>
      <c r="J79" s="198"/>
      <c r="K79" s="198">
        <f>SUM(K68:K78)</f>
        <v>0</v>
      </c>
      <c r="L79" s="198">
        <f>SUM(L68:L78)</f>
        <v>274400</v>
      </c>
      <c r="M79" s="198">
        <f>SUM(M68:M78)</f>
        <v>169750</v>
      </c>
      <c r="N79" s="198">
        <f>SUM(N68:N78)</f>
        <v>135900</v>
      </c>
      <c r="O79" s="213">
        <f>SUM(O68:O78)</f>
        <v>31650</v>
      </c>
      <c r="P79" s="214">
        <f>$C$79-$O$79</f>
        <v>93900</v>
      </c>
    </row>
    <row r="80" spans="1:16">
      <c r="A80" s="199"/>
      <c r="B80" s="199"/>
      <c r="C80" s="200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</row>
    <row r="81" spans="1:15">
      <c r="A81" s="202"/>
      <c r="B81" s="202"/>
      <c r="C81" s="203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</row>
    <row r="82" spans="1:15">
      <c r="A82" s="202"/>
      <c r="B82" s="202"/>
      <c r="C82" s="203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</row>
    <row r="83" spans="1:15">
      <c r="A83" s="202"/>
      <c r="B83" s="202"/>
      <c r="C83" s="203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</row>
    <row r="84" spans="1:15">
      <c r="A84" s="202"/>
      <c r="B84" s="202"/>
      <c r="C84" s="203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</row>
    <row r="85" spans="1:15">
      <c r="A85" s="202"/>
      <c r="B85" s="202"/>
      <c r="C85" s="203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</row>
    <row r="86" spans="1:15">
      <c r="A86" s="202"/>
      <c r="B86" s="202"/>
      <c r="C86" s="203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</row>
    <row r="87" spans="1:15">
      <c r="A87" s="202"/>
      <c r="B87" s="202"/>
      <c r="C87" s="203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</row>
    <row r="88" spans="1:15">
      <c r="A88" s="202"/>
      <c r="B88" s="202"/>
      <c r="C88" s="203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</row>
    <row r="89" spans="1:15">
      <c r="A89" s="202"/>
      <c r="B89" s="202"/>
      <c r="C89" s="203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</row>
    <row r="90" spans="1:15">
      <c r="A90" s="202"/>
      <c r="B90" s="202"/>
      <c r="C90" s="203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</row>
    <row r="91" spans="1:15">
      <c r="A91" s="202"/>
      <c r="B91" s="202"/>
      <c r="C91" s="203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</row>
    <row r="92" spans="1:15">
      <c r="A92" s="202"/>
      <c r="B92" s="202"/>
      <c r="C92" s="203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</row>
    <row r="93" spans="1:15">
      <c r="A93" s="202"/>
      <c r="B93" s="202"/>
      <c r="C93" s="203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</row>
    <row r="94" spans="1:15">
      <c r="A94" s="202"/>
      <c r="B94" s="202"/>
      <c r="C94" s="203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</row>
    <row r="95" spans="1:15">
      <c r="A95" s="202"/>
      <c r="B95" s="202"/>
      <c r="C95" s="203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</row>
    <row r="96" spans="1:15">
      <c r="A96" s="202"/>
      <c r="B96" s="202"/>
      <c r="C96" s="203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</row>
    <row r="97" spans="1:15">
      <c r="A97" s="202"/>
      <c r="B97" s="202"/>
      <c r="C97" s="203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</row>
    <row r="98" spans="1:15">
      <c r="A98" s="202"/>
      <c r="B98" s="202"/>
      <c r="C98" s="203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</row>
    <row r="99" spans="1:15">
      <c r="A99" s="202"/>
      <c r="B99" s="202"/>
      <c r="C99" s="203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</row>
    <row r="100" spans="1:15">
      <c r="A100" s="202"/>
      <c r="B100" s="202"/>
      <c r="C100" s="203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</row>
    <row r="101" spans="1:15">
      <c r="A101" s="202"/>
      <c r="B101" s="202"/>
      <c r="C101" s="203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</row>
    <row r="102" spans="1:15">
      <c r="A102" s="202"/>
      <c r="B102" s="202"/>
      <c r="C102" s="203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</row>
    <row r="103" spans="1:15">
      <c r="A103" s="202"/>
      <c r="B103" s="202"/>
      <c r="C103" s="203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</row>
    <row r="104" spans="1:15" ht="15.6">
      <c r="A104" s="202"/>
      <c r="B104" s="202"/>
      <c r="C104" s="205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</row>
    <row r="105" spans="1:15" ht="15.6">
      <c r="A105" s="206"/>
      <c r="B105" s="206"/>
      <c r="C105" s="207"/>
      <c r="D105" s="208"/>
      <c r="E105" s="208"/>
      <c r="F105" s="208"/>
      <c r="G105" s="208"/>
      <c r="H105" s="208"/>
      <c r="I105" s="208"/>
      <c r="J105" s="208"/>
      <c r="K105" s="215"/>
      <c r="L105" s="216"/>
      <c r="M105" s="215"/>
      <c r="N105" s="215"/>
      <c r="O105" s="216"/>
    </row>
    <row r="106" spans="1:15" ht="15.6">
      <c r="B106" s="416"/>
      <c r="C106" s="417"/>
      <c r="D106" s="417"/>
      <c r="E106" s="417"/>
      <c r="F106" s="417"/>
      <c r="G106" s="417"/>
      <c r="H106" s="417"/>
      <c r="I106" s="417"/>
      <c r="J106" s="417"/>
      <c r="K106" s="205"/>
      <c r="L106" s="205"/>
      <c r="M106" s="205"/>
      <c r="N106" s="205"/>
      <c r="O106" s="217"/>
    </row>
    <row r="109" spans="1:15">
      <c r="K109" t="s">
        <v>124</v>
      </c>
    </row>
    <row r="110" spans="1:15">
      <c r="K110" t="s">
        <v>124</v>
      </c>
    </row>
    <row r="112" spans="1:15">
      <c r="D112" t="s">
        <v>124</v>
      </c>
    </row>
  </sheetData>
  <mergeCells count="7">
    <mergeCell ref="A44:O44"/>
    <mergeCell ref="B106:J106"/>
    <mergeCell ref="A1:B1"/>
    <mergeCell ref="A2:O2"/>
    <mergeCell ref="A18:O18"/>
    <mergeCell ref="A29:O29"/>
    <mergeCell ref="A38:O38"/>
  </mergeCells>
  <pageMargins left="0" right="0" top="0" bottom="0" header="0.31496062992126" footer="0.31496062992126"/>
  <pageSetup paperSize="9" scale="74" orientation="landscape"/>
  <ignoredErrors>
    <ignoredError sqref="H21:K23 M22:O23 H24:O28 O45:O49 H49:I49 M46:M48 H45:I45 M45 H9 O30 O39:O41 H39:L41 H56:H58 J4:L6 O3:O4 O5:O9 H4:H6 H7:L7 O52:O63 O19:O21 H19:K20 L52:L59 L61 K57:K63 L30 L32:L37 H59:I66 M32:O37 H31:J34 H35:I35 H36:J36 D68 N73:N75 O77:O78 G68:G69 N69 H10:O13 H14:K14 M14:O14 H15:O17 J55:J59 H52:I55 H42:O42 H37:K37 K65:L65 K66 O66 K67:O67 K8:L8 H8 I3:L3 P79 K79:N79 K80:O80 O70:O72 H68:K68 M68:O68 H51:I51 N51:O51 H43:I43 K43:O43 K45 H46:I46 K46 H47:I47 K47 H48:I48 K48 K49 H50:I50 K50 K51 N50:O50 K64:L64 O64 O65 J9:L9 O31 H30 J30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26"/>
  <sheetViews>
    <sheetView zoomScale="60" zoomScaleNormal="60" workbookViewId="0">
      <pane xSplit="2" ySplit="2" topLeftCell="C3" activePane="bottomRight" state="frozen"/>
      <selection pane="bottomRight" activeCell="G5" sqref="G5"/>
      <selection pane="bottomLeft"/>
      <selection pane="topRight"/>
    </sheetView>
  </sheetViews>
  <sheetFormatPr defaultColWidth="10.85546875" defaultRowHeight="15.6"/>
  <cols>
    <col min="1" max="1" width="9.5703125" style="109" customWidth="1"/>
    <col min="2" max="2" width="7.5703125" style="110" customWidth="1"/>
    <col min="3" max="3" width="10.85546875" style="111"/>
    <col min="4" max="4" width="6.85546875" style="109" customWidth="1"/>
    <col min="5" max="5" width="10" style="109" customWidth="1"/>
    <col min="6" max="23" width="6.85546875" style="109" customWidth="1"/>
    <col min="24" max="24" width="10.85546875" style="111" customWidth="1"/>
    <col min="25" max="25" width="9" style="109" customWidth="1"/>
    <col min="26" max="26" width="8.85546875" style="109" customWidth="1"/>
    <col min="27" max="27" width="9.7109375" style="109" customWidth="1"/>
    <col min="28" max="28" width="9.28515625" style="109" customWidth="1"/>
    <col min="29" max="29" width="9.7109375" style="109" customWidth="1"/>
    <col min="30" max="48" width="6.85546875" style="109" customWidth="1"/>
    <col min="49" max="16384" width="10.85546875" style="109"/>
  </cols>
  <sheetData>
    <row r="1" spans="1:47" ht="16.350000000000001">
      <c r="A1" s="112" t="s">
        <v>198</v>
      </c>
      <c r="B1" s="113"/>
      <c r="C1" s="420"/>
      <c r="D1" s="421"/>
      <c r="E1" s="421"/>
      <c r="F1" s="421"/>
      <c r="G1" s="421"/>
      <c r="H1" s="421"/>
      <c r="I1" s="421"/>
      <c r="J1" s="422"/>
      <c r="K1" s="423" t="s">
        <v>199</v>
      </c>
      <c r="L1" s="424"/>
      <c r="M1" s="425"/>
      <c r="N1" s="423"/>
      <c r="O1" s="424"/>
      <c r="P1" s="424"/>
      <c r="Q1" s="424"/>
      <c r="R1" s="424"/>
      <c r="S1" s="424"/>
      <c r="T1" s="424"/>
      <c r="U1" s="424"/>
      <c r="V1" s="424"/>
      <c r="W1" s="425"/>
    </row>
    <row r="2" spans="1:47" ht="47.65">
      <c r="A2" s="426" t="s">
        <v>136</v>
      </c>
      <c r="B2" s="427"/>
      <c r="C2" s="114" t="s">
        <v>200</v>
      </c>
      <c r="D2" s="428" t="s">
        <v>201</v>
      </c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30"/>
      <c r="X2" s="127" t="s">
        <v>202</v>
      </c>
      <c r="Y2" s="431" t="s">
        <v>203</v>
      </c>
      <c r="Z2" s="431"/>
      <c r="AA2" s="431"/>
      <c r="AB2" s="431"/>
      <c r="AC2" s="431"/>
      <c r="AD2" s="431"/>
      <c r="AE2" s="431"/>
      <c r="AF2" s="431"/>
      <c r="AG2" s="431"/>
      <c r="AH2" s="431"/>
      <c r="AI2" s="431"/>
      <c r="AJ2" s="431"/>
      <c r="AK2" s="431"/>
      <c r="AL2" s="431"/>
      <c r="AM2" s="431"/>
      <c r="AN2" s="431"/>
      <c r="AO2" s="431"/>
      <c r="AP2" s="431"/>
      <c r="AQ2" s="431"/>
      <c r="AR2" s="432"/>
    </row>
    <row r="3" spans="1:47" s="106" customFormat="1" ht="15.75">
      <c r="A3" s="433" t="s">
        <v>147</v>
      </c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4"/>
      <c r="X3" s="128"/>
      <c r="Y3" s="435" t="s">
        <v>147</v>
      </c>
      <c r="Z3" s="436"/>
      <c r="AA3" s="436"/>
      <c r="AB3" s="436"/>
      <c r="AC3" s="436"/>
      <c r="AD3" s="436"/>
      <c r="AE3" s="436"/>
      <c r="AF3" s="436"/>
      <c r="AG3" s="436"/>
      <c r="AH3" s="436"/>
      <c r="AI3" s="436"/>
      <c r="AJ3" s="436"/>
      <c r="AK3" s="436"/>
      <c r="AL3" s="436"/>
      <c r="AM3" s="436"/>
      <c r="AN3" s="436"/>
      <c r="AO3" s="436"/>
      <c r="AP3" s="436"/>
      <c r="AQ3" s="436"/>
      <c r="AR3" s="437"/>
    </row>
    <row r="4" spans="1:47" ht="15" customHeight="1">
      <c r="A4" s="451" t="s">
        <v>148</v>
      </c>
      <c r="B4" s="457">
        <f>SUM('Лист выплат'!B3)</f>
        <v>3</v>
      </c>
      <c r="C4" s="459">
        <f>SUM(D4:W4)</f>
        <v>5375</v>
      </c>
      <c r="D4" s="115">
        <v>1250</v>
      </c>
      <c r="E4" s="116">
        <v>1000</v>
      </c>
      <c r="F4" s="116">
        <v>2000</v>
      </c>
      <c r="G4" s="577">
        <v>1125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29"/>
      <c r="X4" s="461">
        <f>SUM(Y4:AR4)</f>
        <v>1200</v>
      </c>
      <c r="Y4" s="574">
        <v>600</v>
      </c>
      <c r="Z4" s="574">
        <v>600</v>
      </c>
      <c r="AA4" s="116"/>
      <c r="AB4" s="116"/>
      <c r="AC4" s="116"/>
      <c r="AD4" s="116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33"/>
    </row>
    <row r="5" spans="1:47" ht="15.75" customHeight="1">
      <c r="A5" s="452"/>
      <c r="B5" s="458"/>
      <c r="C5" s="460"/>
      <c r="D5" s="118" t="s">
        <v>204</v>
      </c>
      <c r="E5" s="119" t="s">
        <v>205</v>
      </c>
      <c r="F5" s="119" t="s">
        <v>206</v>
      </c>
      <c r="G5" s="579" t="s">
        <v>207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30"/>
      <c r="X5" s="462"/>
      <c r="Y5" s="576" t="s">
        <v>208</v>
      </c>
      <c r="Z5" s="576" t="s">
        <v>208</v>
      </c>
      <c r="AA5" s="119"/>
      <c r="AB5" s="119"/>
      <c r="AC5" s="119"/>
      <c r="AD5" s="119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34"/>
      <c r="AT5" s="589" t="s">
        <v>209</v>
      </c>
      <c r="AU5" s="589"/>
    </row>
    <row r="6" spans="1:47" ht="15" customHeight="1">
      <c r="A6" s="453" t="s">
        <v>148</v>
      </c>
      <c r="B6" s="457">
        <f>SUM('Лист выплат'!B4)</f>
        <v>5</v>
      </c>
      <c r="C6" s="459">
        <f t="shared" ref="C6" si="0">SUM(D6:W6)</f>
        <v>16200</v>
      </c>
      <c r="D6" s="577">
        <v>1125</v>
      </c>
      <c r="E6" s="578">
        <v>900</v>
      </c>
      <c r="F6" s="578">
        <v>1800</v>
      </c>
      <c r="G6" s="578">
        <v>4050</v>
      </c>
      <c r="H6" s="578">
        <v>2700</v>
      </c>
      <c r="I6" s="578">
        <v>1800</v>
      </c>
      <c r="J6" s="577">
        <v>1125</v>
      </c>
      <c r="K6" s="578">
        <v>900</v>
      </c>
      <c r="L6" s="578">
        <v>1800</v>
      </c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29"/>
      <c r="X6" s="461">
        <f>SUM(Y6:AR6)</f>
        <v>3800</v>
      </c>
      <c r="Y6" s="590">
        <v>3200</v>
      </c>
      <c r="Z6" s="574">
        <v>600</v>
      </c>
      <c r="AA6" s="116"/>
      <c r="AB6" s="116"/>
      <c r="AC6" s="116"/>
      <c r="AD6" s="116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33"/>
      <c r="AT6" s="589"/>
      <c r="AU6" s="589"/>
    </row>
    <row r="7" spans="1:47" ht="15.75" customHeight="1">
      <c r="A7" s="454"/>
      <c r="B7" s="458"/>
      <c r="C7" s="460"/>
      <c r="D7" s="579" t="s">
        <v>207</v>
      </c>
      <c r="E7" s="580" t="s">
        <v>210</v>
      </c>
      <c r="F7" s="580" t="s">
        <v>211</v>
      </c>
      <c r="G7" s="580" t="s">
        <v>212</v>
      </c>
      <c r="H7" s="580" t="s">
        <v>213</v>
      </c>
      <c r="I7" s="580" t="s">
        <v>214</v>
      </c>
      <c r="J7" s="579" t="s">
        <v>207</v>
      </c>
      <c r="K7" s="580" t="s">
        <v>210</v>
      </c>
      <c r="L7" s="580" t="s">
        <v>211</v>
      </c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30"/>
      <c r="X7" s="462"/>
      <c r="Y7" s="591" t="s">
        <v>215</v>
      </c>
      <c r="Z7" s="576" t="s">
        <v>208</v>
      </c>
      <c r="AA7" s="119"/>
      <c r="AB7" s="119"/>
      <c r="AC7" s="119"/>
      <c r="AD7" s="119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34"/>
    </row>
    <row r="8" spans="1:47" ht="15" customHeight="1">
      <c r="A8" s="451" t="s">
        <v>148</v>
      </c>
      <c r="B8" s="457">
        <f>SUM('Лист выплат'!B5)</f>
        <v>9</v>
      </c>
      <c r="C8" s="459">
        <f t="shared" ref="C8" si="1">SUM(D8:W8)</f>
        <v>8550</v>
      </c>
      <c r="D8" s="578">
        <v>4050</v>
      </c>
      <c r="E8" s="578">
        <v>2700</v>
      </c>
      <c r="F8" s="578">
        <v>1800</v>
      </c>
      <c r="G8" s="116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29"/>
      <c r="X8" s="461">
        <f>SUM(Y8:AR8)</f>
        <v>300</v>
      </c>
      <c r="Y8" s="593">
        <v>300</v>
      </c>
      <c r="Z8" s="116"/>
      <c r="AA8" s="116"/>
      <c r="AB8" s="116"/>
      <c r="AC8" s="116"/>
      <c r="AD8" s="116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33"/>
    </row>
    <row r="9" spans="1:47" ht="15.75" customHeight="1">
      <c r="A9" s="452"/>
      <c r="B9" s="458"/>
      <c r="C9" s="460"/>
      <c r="D9" s="580" t="s">
        <v>212</v>
      </c>
      <c r="E9" s="580" t="s">
        <v>213</v>
      </c>
      <c r="F9" s="580" t="s">
        <v>214</v>
      </c>
      <c r="G9" s="119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30"/>
      <c r="X9" s="462"/>
      <c r="Y9" s="594" t="s">
        <v>216</v>
      </c>
      <c r="Z9" s="122"/>
      <c r="AA9" s="119"/>
      <c r="AB9" s="119"/>
      <c r="AC9" s="119"/>
      <c r="AD9" s="119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34"/>
    </row>
    <row r="10" spans="1:47" ht="15" customHeight="1">
      <c r="A10" s="451" t="s">
        <v>148</v>
      </c>
      <c r="B10" s="457">
        <f>SUM('Лист выплат'!B6)</f>
        <v>11</v>
      </c>
      <c r="C10" s="459">
        <f t="shared" ref="C10" si="2">SUM(D10:W10)</f>
        <v>20450</v>
      </c>
      <c r="D10" s="577">
        <v>1125</v>
      </c>
      <c r="E10" s="578">
        <v>900</v>
      </c>
      <c r="F10" s="578">
        <v>1800</v>
      </c>
      <c r="G10" s="115">
        <v>1250</v>
      </c>
      <c r="H10" s="116">
        <v>1000</v>
      </c>
      <c r="I10" s="116">
        <v>2000</v>
      </c>
      <c r="J10" s="577">
        <v>1125</v>
      </c>
      <c r="K10" s="578">
        <v>900</v>
      </c>
      <c r="L10" s="578">
        <v>1800</v>
      </c>
      <c r="M10" s="578">
        <v>4050</v>
      </c>
      <c r="N10" s="578">
        <v>2700</v>
      </c>
      <c r="O10" s="578">
        <v>1800</v>
      </c>
      <c r="P10" s="117"/>
      <c r="Q10" s="117"/>
      <c r="R10" s="117"/>
      <c r="S10" s="117"/>
      <c r="T10" s="117"/>
      <c r="U10" s="117"/>
      <c r="V10" s="117"/>
      <c r="W10" s="129"/>
      <c r="X10" s="461">
        <f>SUM(Y10:AR10)</f>
        <v>600</v>
      </c>
      <c r="Y10" s="574">
        <v>600</v>
      </c>
      <c r="Z10" s="116"/>
      <c r="AA10" s="116"/>
      <c r="AB10" s="116"/>
      <c r="AC10" s="116"/>
      <c r="AD10" s="116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33"/>
    </row>
    <row r="11" spans="1:47" ht="15.75" customHeight="1">
      <c r="A11" s="452"/>
      <c r="B11" s="458"/>
      <c r="C11" s="460"/>
      <c r="D11" s="579" t="s">
        <v>207</v>
      </c>
      <c r="E11" s="580" t="s">
        <v>210</v>
      </c>
      <c r="F11" s="580" t="s">
        <v>211</v>
      </c>
      <c r="G11" s="118" t="s">
        <v>204</v>
      </c>
      <c r="H11" s="119" t="s">
        <v>205</v>
      </c>
      <c r="I11" s="119" t="s">
        <v>206</v>
      </c>
      <c r="J11" s="579" t="s">
        <v>207</v>
      </c>
      <c r="K11" s="580" t="s">
        <v>210</v>
      </c>
      <c r="L11" s="580" t="s">
        <v>211</v>
      </c>
      <c r="M11" s="580" t="s">
        <v>212</v>
      </c>
      <c r="N11" s="580" t="s">
        <v>213</v>
      </c>
      <c r="O11" s="580" t="s">
        <v>214</v>
      </c>
      <c r="P11" s="120"/>
      <c r="Q11" s="120"/>
      <c r="R11" s="120"/>
      <c r="S11" s="120"/>
      <c r="T11" s="120"/>
      <c r="U11" s="120"/>
      <c r="V11" s="120"/>
      <c r="W11" s="130"/>
      <c r="X11" s="462"/>
      <c r="Y11" s="576" t="s">
        <v>208</v>
      </c>
      <c r="Z11" s="119"/>
      <c r="AA11" s="119"/>
      <c r="AB11" s="119"/>
      <c r="AC11" s="119"/>
      <c r="AD11" s="119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34"/>
    </row>
    <row r="12" spans="1:47" ht="15" customHeight="1">
      <c r="A12" s="451" t="s">
        <v>148</v>
      </c>
      <c r="B12" s="457">
        <f>SUM('Лист выплат'!B7)</f>
        <v>18</v>
      </c>
      <c r="C12" s="459">
        <f t="shared" ref="C12" si="3">SUM(D12:W12)</f>
        <v>34200</v>
      </c>
      <c r="D12" s="578">
        <v>4050</v>
      </c>
      <c r="E12" s="578">
        <v>2700</v>
      </c>
      <c r="F12" s="578">
        <v>1800</v>
      </c>
      <c r="G12" s="578">
        <v>4050</v>
      </c>
      <c r="H12" s="578">
        <v>2700</v>
      </c>
      <c r="I12" s="578">
        <v>1800</v>
      </c>
      <c r="J12" s="578">
        <v>4050</v>
      </c>
      <c r="K12" s="578">
        <v>2700</v>
      </c>
      <c r="L12" s="578">
        <v>1800</v>
      </c>
      <c r="M12" s="578">
        <v>4050</v>
      </c>
      <c r="N12" s="578">
        <v>2700</v>
      </c>
      <c r="O12" s="578">
        <v>1800</v>
      </c>
      <c r="P12" s="117"/>
      <c r="Q12" s="117"/>
      <c r="R12" s="117"/>
      <c r="S12" s="117"/>
      <c r="T12" s="117"/>
      <c r="U12" s="117"/>
      <c r="V12" s="117"/>
      <c r="W12" s="129"/>
      <c r="X12" s="461">
        <f>SUM(Y12:AR12)</f>
        <v>0</v>
      </c>
      <c r="Y12" s="131"/>
      <c r="Z12" s="116"/>
      <c r="AA12" s="116"/>
      <c r="AB12" s="116"/>
      <c r="AC12" s="116"/>
      <c r="AD12" s="116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33"/>
    </row>
    <row r="13" spans="1:47" ht="15.75" customHeight="1">
      <c r="A13" s="452"/>
      <c r="B13" s="458"/>
      <c r="C13" s="460"/>
      <c r="D13" s="580" t="s">
        <v>212</v>
      </c>
      <c r="E13" s="580" t="s">
        <v>213</v>
      </c>
      <c r="F13" s="580" t="s">
        <v>214</v>
      </c>
      <c r="G13" s="580" t="s">
        <v>212</v>
      </c>
      <c r="H13" s="580" t="s">
        <v>213</v>
      </c>
      <c r="I13" s="580" t="s">
        <v>214</v>
      </c>
      <c r="J13" s="580" t="s">
        <v>212</v>
      </c>
      <c r="K13" s="580" t="s">
        <v>213</v>
      </c>
      <c r="L13" s="580" t="s">
        <v>214</v>
      </c>
      <c r="M13" s="580" t="s">
        <v>212</v>
      </c>
      <c r="N13" s="580" t="s">
        <v>213</v>
      </c>
      <c r="O13" s="580" t="s">
        <v>214</v>
      </c>
      <c r="P13" s="120"/>
      <c r="Q13" s="120"/>
      <c r="R13" s="120"/>
      <c r="S13" s="120"/>
      <c r="T13" s="120"/>
      <c r="U13" s="120"/>
      <c r="V13" s="120"/>
      <c r="W13" s="130"/>
      <c r="X13" s="462"/>
      <c r="Y13" s="132"/>
      <c r="Z13" s="119"/>
      <c r="AA13" s="119"/>
      <c r="AB13" s="119"/>
      <c r="AC13" s="119"/>
      <c r="AD13" s="119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34"/>
    </row>
    <row r="14" spans="1:47" ht="15" customHeight="1">
      <c r="A14" s="585" t="s">
        <v>148</v>
      </c>
      <c r="B14" s="586">
        <f>SUM('Лист выплат'!B8)</f>
        <v>21</v>
      </c>
      <c r="C14" s="459">
        <f t="shared" ref="C14" si="4">SUM(D14:W14)</f>
        <v>0</v>
      </c>
      <c r="D14" s="115"/>
      <c r="E14" s="116"/>
      <c r="F14" s="116"/>
      <c r="G14" s="116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29"/>
      <c r="X14" s="461">
        <f>SUM(Y14:AR14)</f>
        <v>2280</v>
      </c>
      <c r="Y14" s="125">
        <v>300</v>
      </c>
      <c r="Z14" s="125">
        <v>300</v>
      </c>
      <c r="AA14" s="116">
        <v>600</v>
      </c>
      <c r="AB14" s="592">
        <v>540</v>
      </c>
      <c r="AC14" s="592">
        <v>540</v>
      </c>
      <c r="AD14" s="116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33"/>
    </row>
    <row r="15" spans="1:47" ht="15.75" customHeight="1">
      <c r="A15" s="587"/>
      <c r="B15" s="588"/>
      <c r="C15" s="460"/>
      <c r="D15" s="121"/>
      <c r="E15" s="122"/>
      <c r="F15" s="119"/>
      <c r="G15" s="119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30"/>
      <c r="X15" s="462"/>
      <c r="Y15" s="572" t="s">
        <v>216</v>
      </c>
      <c r="Z15" s="572" t="s">
        <v>216</v>
      </c>
      <c r="AA15" s="119" t="s">
        <v>208</v>
      </c>
      <c r="AB15" s="122" t="s">
        <v>208</v>
      </c>
      <c r="AC15" s="122" t="s">
        <v>208</v>
      </c>
      <c r="AD15" s="119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34"/>
    </row>
    <row r="16" spans="1:47" ht="15" customHeight="1">
      <c r="A16" s="451" t="s">
        <v>148</v>
      </c>
      <c r="B16" s="457">
        <f>SUM('Лист выплат'!B9)</f>
        <v>66</v>
      </c>
      <c r="C16" s="459">
        <f t="shared" ref="C16" si="5">SUM(D16:W16)</f>
        <v>23850</v>
      </c>
      <c r="D16" s="577">
        <v>1125</v>
      </c>
      <c r="E16" s="578">
        <v>900</v>
      </c>
      <c r="F16" s="578">
        <v>1800</v>
      </c>
      <c r="G16" s="577">
        <v>1125</v>
      </c>
      <c r="H16" s="578">
        <v>900</v>
      </c>
      <c r="I16" s="578">
        <v>1800</v>
      </c>
      <c r="J16" s="578">
        <v>4050</v>
      </c>
      <c r="K16" s="578">
        <v>2700</v>
      </c>
      <c r="L16" s="578">
        <v>1800</v>
      </c>
      <c r="M16" s="577">
        <v>1125</v>
      </c>
      <c r="N16" s="578">
        <v>900</v>
      </c>
      <c r="O16" s="578">
        <v>1800</v>
      </c>
      <c r="P16" s="577">
        <v>1125</v>
      </c>
      <c r="Q16" s="578">
        <v>900</v>
      </c>
      <c r="R16" s="578">
        <v>1800</v>
      </c>
      <c r="S16" s="117"/>
      <c r="T16" s="117"/>
      <c r="U16" s="117"/>
      <c r="V16" s="117"/>
      <c r="W16" s="129"/>
      <c r="X16" s="461">
        <f>SUM(Y16:AR16)</f>
        <v>1740</v>
      </c>
      <c r="Y16" s="116">
        <v>600</v>
      </c>
      <c r="Z16" s="574">
        <v>600</v>
      </c>
      <c r="AA16" s="578">
        <v>540</v>
      </c>
      <c r="AB16" s="116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33"/>
    </row>
    <row r="17" spans="1:44" ht="15.75" customHeight="1">
      <c r="A17" s="452"/>
      <c r="B17" s="458"/>
      <c r="C17" s="460"/>
      <c r="D17" s="579" t="s">
        <v>207</v>
      </c>
      <c r="E17" s="580" t="s">
        <v>210</v>
      </c>
      <c r="F17" s="580" t="s">
        <v>211</v>
      </c>
      <c r="G17" s="579" t="s">
        <v>207</v>
      </c>
      <c r="H17" s="580" t="s">
        <v>210</v>
      </c>
      <c r="I17" s="580" t="s">
        <v>211</v>
      </c>
      <c r="J17" s="580" t="s">
        <v>212</v>
      </c>
      <c r="K17" s="580" t="s">
        <v>213</v>
      </c>
      <c r="L17" s="580" t="s">
        <v>214</v>
      </c>
      <c r="M17" s="579" t="s">
        <v>207</v>
      </c>
      <c r="N17" s="580" t="s">
        <v>210</v>
      </c>
      <c r="O17" s="580" t="s">
        <v>211</v>
      </c>
      <c r="P17" s="579" t="s">
        <v>207</v>
      </c>
      <c r="Q17" s="580" t="s">
        <v>210</v>
      </c>
      <c r="R17" s="580" t="s">
        <v>211</v>
      </c>
      <c r="S17" s="120"/>
      <c r="T17" s="120"/>
      <c r="U17" s="120"/>
      <c r="V17" s="120"/>
      <c r="W17" s="130"/>
      <c r="X17" s="462"/>
      <c r="Y17" s="119" t="s">
        <v>208</v>
      </c>
      <c r="Z17" s="576" t="s">
        <v>208</v>
      </c>
      <c r="AA17" s="580" t="s">
        <v>208</v>
      </c>
      <c r="AB17" s="119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34"/>
    </row>
    <row r="18" spans="1:44" ht="15" customHeight="1">
      <c r="A18" s="451" t="s">
        <v>148</v>
      </c>
      <c r="B18" s="457">
        <f>SUM('Лист выплат'!B10)</f>
        <v>0</v>
      </c>
      <c r="C18" s="459">
        <f t="shared" ref="C18" si="6">SUM(D18:W18)</f>
        <v>0</v>
      </c>
      <c r="D18" s="115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29"/>
      <c r="X18" s="461">
        <f>SUM(Y18:AR18)</f>
        <v>0</v>
      </c>
      <c r="Y18" s="115"/>
      <c r="Z18" s="116"/>
      <c r="AA18" s="116"/>
      <c r="AB18" s="116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33"/>
    </row>
    <row r="19" spans="1:44" ht="15.75" customHeight="1">
      <c r="A19" s="452"/>
      <c r="B19" s="458"/>
      <c r="C19" s="460"/>
      <c r="D19" s="118"/>
      <c r="E19" s="118"/>
      <c r="F19" s="118"/>
      <c r="G19" s="119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30"/>
      <c r="X19" s="462"/>
      <c r="Y19" s="118"/>
      <c r="Z19" s="119"/>
      <c r="AA19" s="119"/>
      <c r="AB19" s="119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34"/>
    </row>
    <row r="20" spans="1:44" ht="15.75" customHeight="1">
      <c r="A20" s="451" t="s">
        <v>148</v>
      </c>
      <c r="B20" s="457">
        <f>SUM('Лист выплат'!B11)</f>
        <v>0</v>
      </c>
      <c r="C20" s="459">
        <f>SUM(D20:W20)</f>
        <v>0</v>
      </c>
      <c r="D20" s="115"/>
      <c r="E20" s="116"/>
      <c r="F20" s="116"/>
      <c r="G20" s="116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29"/>
      <c r="X20" s="461">
        <f>SUM(Y20:AR20)</f>
        <v>0</v>
      </c>
      <c r="Y20" s="131"/>
      <c r="Z20" s="116"/>
      <c r="AA20" s="116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33"/>
    </row>
    <row r="21" spans="1:44" ht="15.75" customHeight="1">
      <c r="A21" s="452"/>
      <c r="B21" s="458"/>
      <c r="C21" s="460"/>
      <c r="D21" s="118"/>
      <c r="E21" s="119"/>
      <c r="F21" s="119"/>
      <c r="G21" s="119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30"/>
      <c r="X21" s="462"/>
      <c r="Y21" s="132"/>
      <c r="Z21" s="119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34"/>
    </row>
    <row r="22" spans="1:44" ht="15.75" customHeight="1">
      <c r="A22" s="451" t="s">
        <v>148</v>
      </c>
      <c r="B22" s="457">
        <f>SUM('Лист выплат'!B12)</f>
        <v>0</v>
      </c>
      <c r="C22" s="459">
        <f t="shared" ref="C22" si="7">SUM(D22:W22)</f>
        <v>0</v>
      </c>
      <c r="D22" s="115"/>
      <c r="E22" s="115"/>
      <c r="F22" s="116"/>
      <c r="G22" s="116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29"/>
      <c r="X22" s="461">
        <f>SUM(Y22:AR22)</f>
        <v>0</v>
      </c>
      <c r="Y22" s="131"/>
      <c r="Z22" s="116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33"/>
    </row>
    <row r="23" spans="1:44" ht="15.75" customHeight="1">
      <c r="A23" s="452"/>
      <c r="B23" s="458"/>
      <c r="C23" s="460"/>
      <c r="D23" s="118"/>
      <c r="E23" s="118"/>
      <c r="F23" s="119"/>
      <c r="G23" s="119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30"/>
      <c r="X23" s="462"/>
      <c r="Y23" s="132"/>
      <c r="Z23" s="119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34"/>
    </row>
    <row r="24" spans="1:44" ht="15.75" customHeight="1">
      <c r="A24" s="451" t="s">
        <v>148</v>
      </c>
      <c r="B24" s="457">
        <f>SUM('Лист выплат'!B13)</f>
        <v>0</v>
      </c>
      <c r="C24" s="459">
        <f t="shared" ref="C24" si="8">SUM(D24:W24)</f>
        <v>0</v>
      </c>
      <c r="D24" s="115"/>
      <c r="E24" s="116"/>
      <c r="F24" s="116"/>
      <c r="G24" s="116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29"/>
      <c r="X24" s="461">
        <f>SUM(Y24:AR24)</f>
        <v>0</v>
      </c>
      <c r="Y24" s="131"/>
      <c r="Z24" s="116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33"/>
    </row>
    <row r="25" spans="1:44" ht="15.75" customHeight="1">
      <c r="A25" s="452"/>
      <c r="B25" s="458"/>
      <c r="C25" s="460"/>
      <c r="D25" s="118"/>
      <c r="E25" s="119"/>
      <c r="F25" s="119"/>
      <c r="G25" s="119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30"/>
      <c r="X25" s="462"/>
      <c r="Y25" s="132"/>
      <c r="Z25" s="119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34"/>
    </row>
    <row r="26" spans="1:44" ht="15.75" customHeight="1">
      <c r="A26" s="451" t="s">
        <v>148</v>
      </c>
      <c r="B26" s="457">
        <f>SUM('Лист выплат'!B14)</f>
        <v>0</v>
      </c>
      <c r="C26" s="459">
        <f t="shared" ref="C26" si="9">SUM(D26:W26)</f>
        <v>0</v>
      </c>
      <c r="D26" s="115"/>
      <c r="E26" s="116"/>
      <c r="F26" s="116"/>
      <c r="G26" s="116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29"/>
      <c r="X26" s="461">
        <f>SUM(Y26:AR26)</f>
        <v>0</v>
      </c>
      <c r="Y26" s="131"/>
      <c r="Z26" s="116"/>
      <c r="AA26" s="116"/>
      <c r="AB26" s="116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33"/>
    </row>
    <row r="27" spans="1:44" ht="15.75" customHeight="1">
      <c r="A27" s="452"/>
      <c r="B27" s="458"/>
      <c r="C27" s="460"/>
      <c r="D27" s="118"/>
      <c r="E27" s="119"/>
      <c r="F27" s="119"/>
      <c r="G27" s="119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30"/>
      <c r="X27" s="462"/>
      <c r="Y27" s="132"/>
      <c r="Z27" s="119"/>
      <c r="AA27" s="119"/>
      <c r="AB27" s="119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34"/>
    </row>
    <row r="28" spans="1:44" ht="15.75" customHeight="1">
      <c r="A28" s="451" t="s">
        <v>148</v>
      </c>
      <c r="B28" s="457">
        <f>SUM('Лист выплат'!B15)</f>
        <v>0</v>
      </c>
      <c r="C28" s="459">
        <f t="shared" ref="C28" si="10">SUM(D28:W28)</f>
        <v>0</v>
      </c>
      <c r="D28" s="115"/>
      <c r="E28" s="116"/>
      <c r="F28" s="116"/>
      <c r="G28" s="116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29"/>
      <c r="X28" s="461">
        <f>SUM(Y28:AR28)</f>
        <v>0</v>
      </c>
      <c r="Y28" s="131"/>
      <c r="Z28" s="116"/>
      <c r="AA28" s="116"/>
      <c r="AB28" s="116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33"/>
    </row>
    <row r="29" spans="1:44" ht="15.75" customHeight="1">
      <c r="A29" s="452"/>
      <c r="B29" s="458"/>
      <c r="C29" s="460"/>
      <c r="D29" s="118"/>
      <c r="E29" s="119"/>
      <c r="F29" s="119"/>
      <c r="G29" s="119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30"/>
      <c r="X29" s="462"/>
      <c r="Y29" s="132"/>
      <c r="Z29" s="119"/>
      <c r="AA29" s="119"/>
      <c r="AB29" s="119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34"/>
    </row>
    <row r="30" spans="1:44" ht="15" customHeight="1">
      <c r="A30" s="451" t="s">
        <v>148</v>
      </c>
      <c r="B30" s="457">
        <f>SUM('Лист выплат'!B16)</f>
        <v>0</v>
      </c>
      <c r="C30" s="459">
        <f t="shared" ref="C30" si="11">SUM(D30:W30)</f>
        <v>0</v>
      </c>
      <c r="D30" s="115"/>
      <c r="E30" s="116"/>
      <c r="F30" s="116"/>
      <c r="G30" s="116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29"/>
      <c r="X30" s="461">
        <f>SUM(Y30:AR30)</f>
        <v>0</v>
      </c>
      <c r="Y30" s="115"/>
      <c r="Z30" s="116"/>
      <c r="AA30" s="116"/>
      <c r="AB30" s="116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33"/>
    </row>
    <row r="31" spans="1:44" ht="15.75" customHeight="1">
      <c r="A31" s="452"/>
      <c r="B31" s="458"/>
      <c r="C31" s="460"/>
      <c r="D31" s="123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30"/>
      <c r="X31" s="462"/>
      <c r="Y31" s="118"/>
      <c r="Z31" s="119"/>
      <c r="AA31" s="119"/>
      <c r="AB31" s="119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34"/>
    </row>
    <row r="32" spans="1:44" ht="15" customHeight="1">
      <c r="A32" s="451" t="s">
        <v>148</v>
      </c>
      <c r="B32" s="457">
        <f>SUM('Лист выплат'!B17)</f>
        <v>0</v>
      </c>
      <c r="C32" s="459">
        <f t="shared" ref="C32" si="12">SUM(D32:W32)</f>
        <v>0</v>
      </c>
      <c r="D32" s="124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29"/>
      <c r="X32" s="461">
        <f>SUM(Y32:AR32)</f>
        <v>0</v>
      </c>
      <c r="Y32" s="115"/>
      <c r="Z32" s="116"/>
      <c r="AA32" s="116"/>
      <c r="AB32" s="116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33"/>
    </row>
    <row r="33" spans="1:44" ht="15.75" customHeight="1">
      <c r="A33" s="452"/>
      <c r="B33" s="458"/>
      <c r="C33" s="460"/>
      <c r="D33" s="123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30"/>
      <c r="X33" s="462"/>
      <c r="Y33" s="118"/>
      <c r="Z33" s="119"/>
      <c r="AA33" s="119"/>
      <c r="AB33" s="119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34"/>
    </row>
    <row r="34" spans="1:44" s="107" customFormat="1" ht="15.75" customHeight="1">
      <c r="A34" s="438" t="s">
        <v>156</v>
      </c>
      <c r="B34" s="439"/>
      <c r="C34" s="439"/>
      <c r="D34" s="439"/>
      <c r="E34" s="439"/>
      <c r="F34" s="439"/>
      <c r="G34" s="439"/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40"/>
      <c r="X34" s="305"/>
      <c r="Y34" s="438" t="s">
        <v>156</v>
      </c>
      <c r="Z34" s="439"/>
      <c r="AA34" s="439"/>
      <c r="AB34" s="439"/>
      <c r="AC34" s="439"/>
      <c r="AD34" s="439"/>
      <c r="AE34" s="439"/>
      <c r="AF34" s="439"/>
      <c r="AG34" s="439"/>
      <c r="AH34" s="439"/>
      <c r="AI34" s="439"/>
      <c r="AJ34" s="439"/>
      <c r="AK34" s="439"/>
      <c r="AL34" s="439"/>
      <c r="AM34" s="439"/>
      <c r="AN34" s="439"/>
      <c r="AO34" s="439"/>
      <c r="AP34" s="439"/>
      <c r="AQ34" s="439"/>
      <c r="AR34" s="441"/>
    </row>
    <row r="35" spans="1:44" ht="15" customHeight="1">
      <c r="A35" s="451" t="s">
        <v>157</v>
      </c>
      <c r="B35" s="457">
        <f>SUM('Лист выплат'!B19)</f>
        <v>0</v>
      </c>
      <c r="C35" s="459">
        <f>SUM(D35:W35)</f>
        <v>0</v>
      </c>
      <c r="D35" s="125"/>
      <c r="E35" s="116"/>
      <c r="F35" s="116"/>
      <c r="G35" s="116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29"/>
      <c r="X35" s="461">
        <f>SUM(Y35:AR35)</f>
        <v>0</v>
      </c>
      <c r="Y35" s="115"/>
      <c r="Z35" s="116"/>
      <c r="AA35" s="116"/>
      <c r="AB35" s="116"/>
      <c r="AC35" s="116"/>
      <c r="AD35" s="116"/>
      <c r="AE35" s="116"/>
      <c r="AF35" s="116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33"/>
    </row>
    <row r="36" spans="1:44" ht="15.75" customHeight="1">
      <c r="A36" s="452"/>
      <c r="B36" s="458"/>
      <c r="C36" s="460"/>
      <c r="D36" s="121"/>
      <c r="E36" s="122"/>
      <c r="F36" s="119"/>
      <c r="G36" s="119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30"/>
      <c r="X36" s="462"/>
      <c r="Y36" s="122"/>
      <c r="Z36" s="122"/>
      <c r="AA36" s="122"/>
      <c r="AB36" s="122"/>
      <c r="AC36" s="122"/>
      <c r="AD36" s="119"/>
      <c r="AE36" s="119"/>
      <c r="AF36" s="119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34"/>
    </row>
    <row r="37" spans="1:44" ht="15" customHeight="1">
      <c r="A37" s="451" t="s">
        <v>157</v>
      </c>
      <c r="B37" s="457">
        <f>SUM('Лист выплат'!B20)</f>
        <v>0</v>
      </c>
      <c r="C37" s="459">
        <f>SUM(D37:W37)</f>
        <v>0</v>
      </c>
      <c r="D37" s="125"/>
      <c r="E37" s="116"/>
      <c r="F37" s="116"/>
      <c r="G37" s="116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29"/>
      <c r="X37" s="461">
        <f>SUM(Y37:AR37)</f>
        <v>0</v>
      </c>
      <c r="Y37" s="115"/>
      <c r="Z37" s="115"/>
      <c r="AA37" s="116"/>
      <c r="AB37" s="116"/>
      <c r="AC37" s="116"/>
      <c r="AD37" s="116"/>
      <c r="AE37" s="116"/>
      <c r="AF37" s="116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33"/>
    </row>
    <row r="38" spans="1:44" ht="15.75" customHeight="1">
      <c r="A38" s="452"/>
      <c r="B38" s="458"/>
      <c r="C38" s="460"/>
      <c r="D38" s="121"/>
      <c r="E38" s="122"/>
      <c r="F38" s="119"/>
      <c r="G38" s="119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30"/>
      <c r="X38" s="462"/>
      <c r="Y38" s="122"/>
      <c r="Z38" s="122"/>
      <c r="AA38" s="122"/>
      <c r="AB38" s="122"/>
      <c r="AC38" s="122"/>
      <c r="AD38" s="119"/>
      <c r="AE38" s="119"/>
      <c r="AF38" s="119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34"/>
    </row>
    <row r="39" spans="1:44" ht="15" customHeight="1">
      <c r="A39" s="451" t="s">
        <v>157</v>
      </c>
      <c r="B39" s="457">
        <f>SUM('Лист выплат'!B21)</f>
        <v>0</v>
      </c>
      <c r="C39" s="459">
        <f>SUM(D39:W39)</f>
        <v>0</v>
      </c>
      <c r="D39" s="115"/>
      <c r="E39" s="116"/>
      <c r="F39" s="116"/>
      <c r="G39" s="116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9"/>
      <c r="X39" s="461">
        <f>SUM(Y39:AR39)</f>
        <v>0</v>
      </c>
      <c r="Y39" s="115"/>
      <c r="Z39" s="115"/>
      <c r="AA39" s="115"/>
      <c r="AB39" s="116"/>
      <c r="AC39" s="116"/>
      <c r="AD39" s="116"/>
      <c r="AE39" s="116"/>
      <c r="AF39" s="116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33"/>
    </row>
    <row r="40" spans="1:44" ht="15.75" customHeight="1">
      <c r="A40" s="452"/>
      <c r="B40" s="458"/>
      <c r="C40" s="460"/>
      <c r="D40" s="123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30"/>
      <c r="X40" s="462"/>
      <c r="Y40" s="119"/>
      <c r="Z40" s="119"/>
      <c r="AA40" s="118"/>
      <c r="AB40" s="119"/>
      <c r="AC40" s="119"/>
      <c r="AD40" s="119"/>
      <c r="AE40" s="119"/>
      <c r="AF40" s="119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34"/>
    </row>
    <row r="41" spans="1:44" ht="15" customHeight="1">
      <c r="A41" s="451" t="s">
        <v>157</v>
      </c>
      <c r="B41" s="457">
        <f>SUM('Лист выплат'!B22)</f>
        <v>0</v>
      </c>
      <c r="C41" s="459">
        <f>SUM(D41:W41)</f>
        <v>0</v>
      </c>
      <c r="D41" s="124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9"/>
      <c r="X41" s="461">
        <f>SUM(Y41:AR41)</f>
        <v>0</v>
      </c>
      <c r="Y41" s="115"/>
      <c r="Z41" s="116"/>
      <c r="AA41" s="116"/>
      <c r="AB41" s="116"/>
      <c r="AC41" s="116"/>
      <c r="AD41" s="116"/>
      <c r="AE41" s="116"/>
      <c r="AF41" s="116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33"/>
    </row>
    <row r="42" spans="1:44" ht="15.75" customHeight="1">
      <c r="A42" s="452"/>
      <c r="B42" s="458"/>
      <c r="C42" s="460"/>
      <c r="D42" s="123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30"/>
      <c r="X42" s="462"/>
      <c r="Y42" s="118"/>
      <c r="Z42" s="119"/>
      <c r="AA42" s="119"/>
      <c r="AB42" s="119"/>
      <c r="AC42" s="119"/>
      <c r="AD42" s="119"/>
      <c r="AE42" s="119"/>
      <c r="AF42" s="119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34"/>
    </row>
    <row r="43" spans="1:44" ht="15" customHeight="1">
      <c r="A43" s="451" t="s">
        <v>157</v>
      </c>
      <c r="B43" s="457">
        <f>SUM('Лист выплат'!B23)</f>
        <v>0</v>
      </c>
      <c r="C43" s="459">
        <f>SUM(D43:W43)</f>
        <v>0</v>
      </c>
      <c r="D43" s="124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29"/>
      <c r="X43" s="461">
        <f>SUM(Y43:AR43)</f>
        <v>0</v>
      </c>
      <c r="Y43" s="115"/>
      <c r="Z43" s="116"/>
      <c r="AA43" s="116"/>
      <c r="AB43" s="116"/>
      <c r="AC43" s="116"/>
      <c r="AD43" s="116"/>
      <c r="AE43" s="116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33"/>
    </row>
    <row r="44" spans="1:44" ht="15.75" customHeight="1">
      <c r="A44" s="452"/>
      <c r="B44" s="458"/>
      <c r="C44" s="460"/>
      <c r="D44" s="123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30"/>
      <c r="X44" s="462"/>
      <c r="Y44" s="118"/>
      <c r="Z44" s="119"/>
      <c r="AA44" s="119"/>
      <c r="AB44" s="119"/>
      <c r="AC44" s="119"/>
      <c r="AD44" s="119"/>
      <c r="AE44" s="119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34"/>
    </row>
    <row r="45" spans="1:44" ht="15" customHeight="1">
      <c r="A45" s="451" t="s">
        <v>157</v>
      </c>
      <c r="B45" s="457">
        <f>SUM('Лист выплат'!B24)</f>
        <v>0</v>
      </c>
      <c r="C45" s="459">
        <f>SUM(D45:W45)</f>
        <v>0</v>
      </c>
      <c r="D45" s="124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29"/>
      <c r="X45" s="461">
        <f>SUM(Y45:AR45)</f>
        <v>0</v>
      </c>
      <c r="Y45" s="115"/>
      <c r="Z45" s="116"/>
      <c r="AA45" s="116"/>
      <c r="AB45" s="116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33"/>
    </row>
    <row r="46" spans="1:44" ht="15.75" customHeight="1">
      <c r="A46" s="452"/>
      <c r="B46" s="458"/>
      <c r="C46" s="460"/>
      <c r="D46" s="123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30"/>
      <c r="X46" s="462"/>
      <c r="Y46" s="118"/>
      <c r="Z46" s="119"/>
      <c r="AA46" s="119"/>
      <c r="AB46" s="119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34"/>
    </row>
    <row r="47" spans="1:44" ht="15" customHeight="1">
      <c r="A47" s="451" t="s">
        <v>157</v>
      </c>
      <c r="B47" s="457">
        <f>SUM('Лист выплат'!B25)</f>
        <v>0</v>
      </c>
      <c r="C47" s="459">
        <f>SUM(D47:W47)</f>
        <v>0</v>
      </c>
      <c r="D47" s="124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29"/>
      <c r="X47" s="461">
        <f>SUM(Y47:AR47)</f>
        <v>0</v>
      </c>
      <c r="Y47" s="115"/>
      <c r="Z47" s="116"/>
      <c r="AA47" s="116"/>
      <c r="AB47" s="116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33"/>
    </row>
    <row r="48" spans="1:44" ht="15.75" customHeight="1">
      <c r="A48" s="452"/>
      <c r="B48" s="458"/>
      <c r="C48" s="460"/>
      <c r="D48" s="123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30"/>
      <c r="X48" s="462"/>
      <c r="Y48" s="118"/>
      <c r="Z48" s="119"/>
      <c r="AA48" s="119"/>
      <c r="AB48" s="119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34"/>
    </row>
    <row r="49" spans="1:44" ht="15" customHeight="1">
      <c r="A49" s="451" t="s">
        <v>157</v>
      </c>
      <c r="B49" s="457">
        <f>SUM('Лист выплат'!B26)</f>
        <v>0</v>
      </c>
      <c r="C49" s="459">
        <f>SUM(D49:W49)</f>
        <v>0</v>
      </c>
      <c r="D49" s="124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29"/>
      <c r="X49" s="461">
        <f>SUM(Y49:AR49)</f>
        <v>0</v>
      </c>
      <c r="Y49" s="115"/>
      <c r="Z49" s="116"/>
      <c r="AA49" s="116"/>
      <c r="AB49" s="116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33"/>
    </row>
    <row r="50" spans="1:44" ht="15.75" customHeight="1">
      <c r="A50" s="452"/>
      <c r="B50" s="458"/>
      <c r="C50" s="460"/>
      <c r="D50" s="123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30"/>
      <c r="X50" s="462"/>
      <c r="Y50" s="118"/>
      <c r="Z50" s="119"/>
      <c r="AA50" s="119"/>
      <c r="AB50" s="119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34"/>
    </row>
    <row r="51" spans="1:44" ht="15" customHeight="1">
      <c r="A51" s="451" t="s">
        <v>157</v>
      </c>
      <c r="B51" s="457">
        <f>SUM('Лист выплат'!B27)</f>
        <v>0</v>
      </c>
      <c r="C51" s="459">
        <f>SUM(D51:W51)</f>
        <v>0</v>
      </c>
      <c r="D51" s="124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29"/>
      <c r="X51" s="461">
        <f>SUM(Y51:AR51)</f>
        <v>0</v>
      </c>
      <c r="Y51" s="124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33"/>
    </row>
    <row r="52" spans="1:44" ht="15.75" customHeight="1">
      <c r="A52" s="452"/>
      <c r="B52" s="458"/>
      <c r="C52" s="460"/>
      <c r="D52" s="123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30"/>
      <c r="X52" s="462"/>
      <c r="Y52" s="123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34"/>
    </row>
    <row r="53" spans="1:44" ht="15" customHeight="1">
      <c r="A53" s="451" t="s">
        <v>157</v>
      </c>
      <c r="B53" s="457">
        <f>SUM('Лист выплат'!B28)</f>
        <v>0</v>
      </c>
      <c r="C53" s="459">
        <f>SUM(D53:W53)</f>
        <v>0</v>
      </c>
      <c r="D53" s="124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29"/>
      <c r="X53" s="461">
        <f>SUM(Y53:AR53)</f>
        <v>0</v>
      </c>
      <c r="Y53" s="124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33"/>
    </row>
    <row r="54" spans="1:44" ht="15.75" customHeight="1">
      <c r="A54" s="452"/>
      <c r="B54" s="458"/>
      <c r="C54" s="460"/>
      <c r="D54" s="123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30"/>
      <c r="X54" s="462"/>
      <c r="Y54" s="123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34"/>
    </row>
    <row r="55" spans="1:44" s="107" customFormat="1" ht="15.75" customHeight="1">
      <c r="A55" s="126"/>
      <c r="B55" s="439" t="s">
        <v>131</v>
      </c>
      <c r="C55" s="439"/>
      <c r="D55" s="439"/>
      <c r="E55" s="439"/>
      <c r="F55" s="439"/>
      <c r="G55" s="439"/>
      <c r="H55" s="439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40"/>
      <c r="X55" s="305"/>
      <c r="Y55" s="438" t="s">
        <v>131</v>
      </c>
      <c r="Z55" s="439"/>
      <c r="AA55" s="439"/>
      <c r="AB55" s="439"/>
      <c r="AC55" s="439"/>
      <c r="AD55" s="439"/>
      <c r="AE55" s="439"/>
      <c r="AF55" s="439"/>
      <c r="AG55" s="439"/>
      <c r="AH55" s="439"/>
      <c r="AI55" s="439"/>
      <c r="AJ55" s="439"/>
      <c r="AK55" s="439"/>
      <c r="AL55" s="439"/>
      <c r="AM55" s="439"/>
      <c r="AN55" s="439"/>
      <c r="AO55" s="439"/>
      <c r="AP55" s="439"/>
      <c r="AQ55" s="439"/>
      <c r="AR55" s="441"/>
    </row>
    <row r="56" spans="1:44" ht="15" customHeight="1">
      <c r="A56" s="451" t="s">
        <v>158</v>
      </c>
      <c r="B56" s="457">
        <f>SUM('Лист выплат'!B30)</f>
        <v>3</v>
      </c>
      <c r="C56" s="459">
        <f>SUM(D56:W56)</f>
        <v>0</v>
      </c>
      <c r="D56" s="124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29"/>
      <c r="X56" s="461">
        <f>SUM(Y56:AR56)</f>
        <v>1080</v>
      </c>
      <c r="Y56" s="592">
        <v>540</v>
      </c>
      <c r="Z56" s="578">
        <v>540</v>
      </c>
      <c r="AA56" s="116"/>
      <c r="AB56" s="116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33"/>
    </row>
    <row r="57" spans="1:44" ht="15.75" customHeight="1">
      <c r="A57" s="452"/>
      <c r="B57" s="458"/>
      <c r="C57" s="460"/>
      <c r="D57" s="123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30"/>
      <c r="X57" s="462"/>
      <c r="Y57" s="122" t="s">
        <v>208</v>
      </c>
      <c r="Z57" s="580" t="s">
        <v>208</v>
      </c>
      <c r="AA57" s="119"/>
      <c r="AB57" s="119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34"/>
    </row>
    <row r="58" spans="1:44" ht="15" customHeight="1">
      <c r="A58" s="451" t="s">
        <v>158</v>
      </c>
      <c r="B58" s="457">
        <f>SUM('Лист выплат'!B31)</f>
        <v>4</v>
      </c>
      <c r="C58" s="459">
        <f t="shared" ref="C58" si="13">SUM(D58:W58)</f>
        <v>0</v>
      </c>
      <c r="D58" s="124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29"/>
      <c r="X58" s="461">
        <f>SUM(Y58:AR58)</f>
        <v>0</v>
      </c>
      <c r="Y58" s="115"/>
      <c r="Z58" s="116"/>
      <c r="AA58" s="116"/>
      <c r="AB58" s="116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33"/>
    </row>
    <row r="59" spans="1:44" ht="15.75" customHeight="1">
      <c r="A59" s="452"/>
      <c r="B59" s="458"/>
      <c r="C59" s="460"/>
      <c r="D59" s="123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30"/>
      <c r="X59" s="462"/>
      <c r="Y59" s="118"/>
      <c r="Z59" s="119"/>
      <c r="AA59" s="119"/>
      <c r="AB59" s="119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34"/>
    </row>
    <row r="60" spans="1:44" ht="15" customHeight="1">
      <c r="A60" s="451" t="s">
        <v>158</v>
      </c>
      <c r="B60" s="457">
        <f>SUM('Лист выплат'!B32)</f>
        <v>0</v>
      </c>
      <c r="C60" s="459">
        <f t="shared" ref="C60" si="14">SUM(D60:W60)</f>
        <v>0</v>
      </c>
      <c r="D60" s="124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29"/>
      <c r="X60" s="461">
        <f>SUM(Y60:AR60)</f>
        <v>0</v>
      </c>
      <c r="Y60" s="115"/>
      <c r="Z60" s="115"/>
      <c r="AA60" s="115"/>
      <c r="AB60" s="116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33"/>
    </row>
    <row r="61" spans="1:44" ht="15.75" customHeight="1">
      <c r="A61" s="452"/>
      <c r="B61" s="458"/>
      <c r="C61" s="460"/>
      <c r="D61" s="123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30"/>
      <c r="X61" s="462"/>
      <c r="Y61" s="118"/>
      <c r="Z61" s="118"/>
      <c r="AA61" s="118"/>
      <c r="AB61" s="119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34"/>
    </row>
    <row r="62" spans="1:44" ht="15" customHeight="1">
      <c r="A62" s="451" t="s">
        <v>158</v>
      </c>
      <c r="B62" s="457">
        <f>SUM('Лист выплат'!B33)</f>
        <v>0</v>
      </c>
      <c r="C62" s="459">
        <f t="shared" ref="C62" si="15">SUM(D62:W62)</f>
        <v>0</v>
      </c>
      <c r="D62" s="124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29"/>
      <c r="X62" s="461">
        <f>SUM(Y62:AR62)</f>
        <v>0</v>
      </c>
      <c r="Y62" s="115"/>
      <c r="Z62" s="116"/>
      <c r="AA62" s="116"/>
      <c r="AB62" s="116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33"/>
    </row>
    <row r="63" spans="1:44" ht="15.75" customHeight="1">
      <c r="A63" s="452"/>
      <c r="B63" s="458"/>
      <c r="C63" s="460"/>
      <c r="D63" s="123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30"/>
      <c r="X63" s="462"/>
      <c r="Y63" s="118"/>
      <c r="Z63" s="119"/>
      <c r="AA63" s="119"/>
      <c r="AB63" s="119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34"/>
    </row>
    <row r="64" spans="1:44" ht="15" customHeight="1">
      <c r="A64" s="451" t="s">
        <v>158</v>
      </c>
      <c r="B64" s="457">
        <f>SUM('Лист выплат'!B34)</f>
        <v>0</v>
      </c>
      <c r="C64" s="459">
        <f t="shared" ref="C64" si="16">SUM(D64:W64)</f>
        <v>0</v>
      </c>
      <c r="D64" s="124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29"/>
      <c r="X64" s="461">
        <f>SUM(Y64:AR64)</f>
        <v>0</v>
      </c>
      <c r="Y64" s="115"/>
      <c r="Z64" s="116"/>
      <c r="AA64" s="116"/>
      <c r="AB64" s="116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33"/>
    </row>
    <row r="65" spans="1:44" ht="15.75" customHeight="1">
      <c r="A65" s="452"/>
      <c r="B65" s="458"/>
      <c r="C65" s="460"/>
      <c r="D65" s="123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30"/>
      <c r="X65" s="462"/>
      <c r="Y65" s="118"/>
      <c r="Z65" s="119"/>
      <c r="AA65" s="119"/>
      <c r="AB65" s="119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34"/>
    </row>
    <row r="66" spans="1:44" ht="15" customHeight="1">
      <c r="A66" s="451" t="s">
        <v>158</v>
      </c>
      <c r="B66" s="457">
        <f>SUM('Лист выплат'!B35)</f>
        <v>0</v>
      </c>
      <c r="C66" s="459">
        <f t="shared" ref="C66" si="17">SUM(D66:W66)</f>
        <v>0</v>
      </c>
      <c r="D66" s="124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29"/>
      <c r="X66" s="461">
        <f>SUM(Y66:AR66)</f>
        <v>0</v>
      </c>
      <c r="Y66" s="115"/>
      <c r="Z66" s="116"/>
      <c r="AA66" s="116"/>
      <c r="AB66" s="116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33"/>
    </row>
    <row r="67" spans="1:44" ht="15.75" customHeight="1">
      <c r="A67" s="452"/>
      <c r="B67" s="458"/>
      <c r="C67" s="460"/>
      <c r="D67" s="123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30"/>
      <c r="X67" s="462"/>
      <c r="Y67" s="118"/>
      <c r="Z67" s="119"/>
      <c r="AA67" s="119"/>
      <c r="AB67" s="119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34"/>
    </row>
    <row r="68" spans="1:44" ht="15" customHeight="1">
      <c r="A68" s="451" t="s">
        <v>158</v>
      </c>
      <c r="B68" s="457">
        <f>SUM('Лист выплат'!B36)</f>
        <v>0</v>
      </c>
      <c r="C68" s="459">
        <f t="shared" ref="C68" si="18">SUM(D68:W68)</f>
        <v>0</v>
      </c>
      <c r="D68" s="124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29"/>
      <c r="X68" s="461">
        <f>SUM(Y68:AR68)</f>
        <v>0</v>
      </c>
      <c r="Y68" s="115"/>
      <c r="Z68" s="116"/>
      <c r="AA68" s="116"/>
      <c r="AB68" s="116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33"/>
    </row>
    <row r="69" spans="1:44" ht="15.75" customHeight="1">
      <c r="A69" s="452"/>
      <c r="B69" s="458"/>
      <c r="C69" s="460"/>
      <c r="D69" s="123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30"/>
      <c r="X69" s="462"/>
      <c r="Y69" s="118"/>
      <c r="Z69" s="119"/>
      <c r="AA69" s="119"/>
      <c r="AB69" s="119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34"/>
    </row>
    <row r="70" spans="1:44" ht="15" customHeight="1">
      <c r="A70" s="451" t="s">
        <v>158</v>
      </c>
      <c r="B70" s="457">
        <f>SUM('Лист выплат'!B37)</f>
        <v>0</v>
      </c>
      <c r="C70" s="459">
        <f t="shared" ref="C70" si="19">SUM(D70:W70)</f>
        <v>0</v>
      </c>
      <c r="D70" s="124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29"/>
      <c r="X70" s="461">
        <f>SUM(Y70:AR70)</f>
        <v>0</v>
      </c>
      <c r="Y70" s="115"/>
      <c r="Z70" s="116"/>
      <c r="AA70" s="116"/>
      <c r="AB70" s="116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33"/>
    </row>
    <row r="71" spans="1:44" ht="15.75" customHeight="1">
      <c r="A71" s="452"/>
      <c r="B71" s="458"/>
      <c r="C71" s="460"/>
      <c r="D71" s="12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30"/>
      <c r="X71" s="462"/>
      <c r="Y71" s="118"/>
      <c r="Z71" s="119"/>
      <c r="AA71" s="119"/>
      <c r="AB71" s="119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34"/>
    </row>
    <row r="72" spans="1:44" ht="15" customHeight="1">
      <c r="A72" s="135"/>
      <c r="B72" s="442" t="s">
        <v>133</v>
      </c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3"/>
      <c r="X72" s="444" t="s">
        <v>133</v>
      </c>
      <c r="Y72" s="445"/>
      <c r="Z72" s="445"/>
      <c r="AA72" s="445"/>
      <c r="AB72" s="445"/>
      <c r="AC72" s="445"/>
      <c r="AD72" s="445"/>
      <c r="AE72" s="445"/>
      <c r="AF72" s="445"/>
      <c r="AG72" s="445"/>
      <c r="AH72" s="445"/>
      <c r="AI72" s="445"/>
      <c r="AJ72" s="445"/>
      <c r="AK72" s="445"/>
      <c r="AL72" s="445"/>
      <c r="AM72" s="445"/>
      <c r="AN72" s="445"/>
      <c r="AO72" s="445"/>
      <c r="AP72" s="445"/>
      <c r="AQ72" s="445"/>
      <c r="AR72" s="446"/>
    </row>
    <row r="73" spans="1:44" ht="15.75" customHeight="1">
      <c r="A73" s="451" t="s">
        <v>161</v>
      </c>
      <c r="B73" s="457">
        <f>SUM('Лист выплат'!B39)</f>
        <v>3</v>
      </c>
      <c r="C73" s="459">
        <f>SUM(D73:W73)</f>
        <v>0</v>
      </c>
      <c r="D73" s="124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29"/>
      <c r="X73" s="463">
        <f>SUM(Y73:AR73)</f>
        <v>0</v>
      </c>
      <c r="Y73" s="124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33"/>
    </row>
    <row r="74" spans="1:44" ht="15" customHeight="1">
      <c r="A74" s="452"/>
      <c r="B74" s="458"/>
      <c r="C74" s="460"/>
      <c r="D74" s="12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30"/>
      <c r="X74" s="464"/>
      <c r="Y74" s="123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34"/>
    </row>
    <row r="75" spans="1:44" ht="15.75" customHeight="1">
      <c r="A75" s="451" t="s">
        <v>161</v>
      </c>
      <c r="B75" s="457">
        <f>SUM('Лист выплат'!B40)</f>
        <v>4</v>
      </c>
      <c r="C75" s="459">
        <f t="shared" ref="C75" si="20">SUM(D75:W75)</f>
        <v>0</v>
      </c>
      <c r="D75" s="124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29"/>
      <c r="X75" s="463">
        <f t="shared" ref="X75" si="21">SUM(Y75:AR75)</f>
        <v>0</v>
      </c>
      <c r="Y75" s="124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33"/>
    </row>
    <row r="76" spans="1:44" ht="15" customHeight="1">
      <c r="A76" s="452"/>
      <c r="B76" s="458"/>
      <c r="C76" s="460"/>
      <c r="D76" s="12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30"/>
      <c r="X76" s="464"/>
      <c r="Y76" s="123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34"/>
    </row>
    <row r="77" spans="1:44" ht="15.75" customHeight="1">
      <c r="A77" s="451" t="s">
        <v>161</v>
      </c>
      <c r="B77" s="457">
        <f>SUM('Лист выплат'!B41)</f>
        <v>0</v>
      </c>
      <c r="C77" s="459">
        <f t="shared" ref="C77" si="22">SUM(D77:W77)</f>
        <v>0</v>
      </c>
      <c r="D77" s="124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29"/>
      <c r="X77" s="463">
        <f t="shared" ref="X77" si="23">SUM(Y77:AR77)</f>
        <v>0</v>
      </c>
      <c r="Y77" s="124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33"/>
    </row>
    <row r="78" spans="1:44" ht="15" customHeight="1">
      <c r="A78" s="452"/>
      <c r="B78" s="458"/>
      <c r="C78" s="460"/>
      <c r="D78" s="12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30"/>
      <c r="X78" s="464"/>
      <c r="Y78" s="123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34"/>
    </row>
    <row r="79" spans="1:44" ht="15.75" customHeight="1">
      <c r="A79" s="451" t="s">
        <v>161</v>
      </c>
      <c r="B79" s="457">
        <f>SUM('Лист выплат'!B42)</f>
        <v>0</v>
      </c>
      <c r="C79" s="459">
        <f t="shared" ref="C79" si="24">SUM(D79:W79)</f>
        <v>0</v>
      </c>
      <c r="D79" s="124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29"/>
      <c r="X79" s="463">
        <f t="shared" ref="X79" si="25">SUM(Y79:AR79)</f>
        <v>0</v>
      </c>
      <c r="Y79" s="124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33"/>
    </row>
    <row r="80" spans="1:44" ht="15" customHeight="1">
      <c r="A80" s="452"/>
      <c r="B80" s="458"/>
      <c r="C80" s="460"/>
      <c r="D80" s="12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30"/>
      <c r="X80" s="464"/>
      <c r="Y80" s="123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34"/>
    </row>
    <row r="81" spans="1:44" ht="15.75" customHeight="1">
      <c r="A81" s="451" t="s">
        <v>161</v>
      </c>
      <c r="B81" s="457">
        <f>SUM('Лист выплат'!B43)</f>
        <v>0</v>
      </c>
      <c r="C81" s="459">
        <f t="shared" ref="C81" si="26">SUM(D81:W81)</f>
        <v>0</v>
      </c>
      <c r="D81" s="124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29"/>
      <c r="X81" s="463">
        <f>SUM(Y81:AR81)</f>
        <v>0</v>
      </c>
      <c r="Y81" s="124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33"/>
    </row>
    <row r="82" spans="1:44" ht="15" customHeight="1">
      <c r="A82" s="452"/>
      <c r="B82" s="458"/>
      <c r="C82" s="460"/>
      <c r="D82" s="12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30"/>
      <c r="X82" s="464"/>
      <c r="Y82" s="123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34"/>
    </row>
    <row r="83" spans="1:44" s="108" customFormat="1" ht="15" customHeight="1">
      <c r="A83" s="135"/>
      <c r="B83" s="447" t="s">
        <v>164</v>
      </c>
      <c r="C83" s="447"/>
      <c r="D83" s="447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8"/>
      <c r="X83" s="449" t="s">
        <v>164</v>
      </c>
      <c r="Y83" s="445"/>
      <c r="Z83" s="445"/>
      <c r="AA83" s="445"/>
      <c r="AB83" s="445"/>
      <c r="AC83" s="445"/>
      <c r="AD83" s="445"/>
      <c r="AE83" s="445"/>
      <c r="AF83" s="445"/>
      <c r="AG83" s="445"/>
      <c r="AH83" s="445"/>
      <c r="AI83" s="445"/>
      <c r="AJ83" s="445"/>
      <c r="AK83" s="445"/>
      <c r="AL83" s="445"/>
      <c r="AM83" s="445"/>
      <c r="AN83" s="445"/>
      <c r="AO83" s="445"/>
      <c r="AP83" s="445"/>
      <c r="AQ83" s="445"/>
      <c r="AR83" s="446"/>
    </row>
    <row r="84" spans="1:44" ht="15.75" customHeight="1">
      <c r="A84" s="455"/>
      <c r="B84" s="457">
        <f>SUM('Лист выплат'!B45)</f>
        <v>0</v>
      </c>
      <c r="C84" s="459">
        <f>SUM(D84:W84)</f>
        <v>0</v>
      </c>
      <c r="D84" s="124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29"/>
      <c r="X84" s="463">
        <f t="shared" ref="X84" si="27">SUM(Y84:AR84)</f>
        <v>0</v>
      </c>
      <c r="Y84" s="124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33"/>
    </row>
    <row r="85" spans="1:44" ht="15" customHeight="1">
      <c r="A85" s="456"/>
      <c r="B85" s="458"/>
      <c r="C85" s="460"/>
      <c r="D85" s="12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30"/>
      <c r="X85" s="464"/>
      <c r="Y85" s="123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34"/>
    </row>
    <row r="86" spans="1:44" ht="15.75" customHeight="1">
      <c r="A86" s="455"/>
      <c r="B86" s="457">
        <f>SUM('Лист выплат'!B46)</f>
        <v>0</v>
      </c>
      <c r="C86" s="459">
        <f t="shared" ref="C86" si="28">SUM(D86:W86)</f>
        <v>0</v>
      </c>
      <c r="D86" s="124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29"/>
      <c r="X86" s="463">
        <f t="shared" ref="X86" si="29">SUM(Y86:AR86)</f>
        <v>0</v>
      </c>
      <c r="Y86" s="124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33"/>
    </row>
    <row r="87" spans="1:44" ht="15" customHeight="1">
      <c r="A87" s="456"/>
      <c r="B87" s="458"/>
      <c r="C87" s="460"/>
      <c r="D87" s="12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30"/>
      <c r="X87" s="464"/>
      <c r="Y87" s="123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34"/>
    </row>
    <row r="88" spans="1:44" ht="15.75" customHeight="1">
      <c r="A88" s="455">
        <v>0</v>
      </c>
      <c r="B88" s="457">
        <f>SUM('Лист выплат'!B47)</f>
        <v>0</v>
      </c>
      <c r="C88" s="459">
        <f t="shared" ref="C88" si="30">SUM(D88:W88)</f>
        <v>0</v>
      </c>
      <c r="D88" s="124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29"/>
      <c r="X88" s="463">
        <f t="shared" ref="X88" si="31">SUM(Y88:AR88)</f>
        <v>0</v>
      </c>
      <c r="Y88" s="124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33"/>
    </row>
    <row r="89" spans="1:44" ht="15" customHeight="1">
      <c r="A89" s="456"/>
      <c r="B89" s="458"/>
      <c r="C89" s="460"/>
      <c r="D89" s="12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30"/>
      <c r="X89" s="464"/>
      <c r="Y89" s="123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34"/>
    </row>
    <row r="90" spans="1:44" ht="15.75" customHeight="1">
      <c r="A90" s="455">
        <f>SUM('Лист выплат'!A48)</f>
        <v>0</v>
      </c>
      <c r="B90" s="457">
        <f>SUM('Лист выплат'!B48)</f>
        <v>0</v>
      </c>
      <c r="C90" s="459">
        <f t="shared" ref="C90" si="32">SUM(D90:W90)</f>
        <v>0</v>
      </c>
      <c r="D90" s="124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29"/>
      <c r="X90" s="463">
        <f t="shared" ref="X90" si="33">SUM(Y90:AR90)</f>
        <v>0</v>
      </c>
      <c r="Y90" s="124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33"/>
    </row>
    <row r="91" spans="1:44" ht="15" customHeight="1">
      <c r="A91" s="456"/>
      <c r="B91" s="458"/>
      <c r="C91" s="460"/>
      <c r="D91" s="12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30"/>
      <c r="X91" s="464"/>
      <c r="Y91" s="123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34"/>
    </row>
    <row r="92" spans="1:44" ht="15.75" customHeight="1">
      <c r="A92" s="455">
        <f>SUM('Лист выплат'!A49)</f>
        <v>0</v>
      </c>
      <c r="B92" s="457">
        <f>SUM('Лист выплат'!B49)</f>
        <v>1</v>
      </c>
      <c r="C92" s="459">
        <f t="shared" ref="C92" si="34">SUM(D92:W92)</f>
        <v>0</v>
      </c>
      <c r="D92" s="124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29"/>
      <c r="X92" s="463">
        <f t="shared" ref="X92" si="35">SUM(Y92:AR92)</f>
        <v>0</v>
      </c>
      <c r="Y92" s="124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33"/>
    </row>
    <row r="93" spans="1:44" ht="15" customHeight="1">
      <c r="A93" s="456"/>
      <c r="B93" s="458"/>
      <c r="C93" s="460"/>
      <c r="D93" s="123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30"/>
      <c r="X93" s="464"/>
      <c r="Y93" s="123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34"/>
    </row>
    <row r="94" spans="1:44" ht="15.75" customHeight="1">
      <c r="A94" s="455">
        <f>SUM('Лист выплат'!A50)</f>
        <v>0</v>
      </c>
      <c r="B94" s="457">
        <f>SUM('Лист выплат'!B50)</f>
        <v>17</v>
      </c>
      <c r="C94" s="459">
        <f t="shared" ref="C94" si="36">SUM(D94:W94)</f>
        <v>0</v>
      </c>
      <c r="D94" s="124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29"/>
      <c r="X94" s="463">
        <f t="shared" ref="X94" si="37">SUM(Y94:AR94)</f>
        <v>0</v>
      </c>
      <c r="Y94" s="124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33"/>
    </row>
    <row r="95" spans="1:44" ht="15.75" customHeight="1">
      <c r="A95" s="456"/>
      <c r="B95" s="458"/>
      <c r="C95" s="460"/>
      <c r="D95" s="123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30"/>
      <c r="X95" s="464"/>
      <c r="Y95" s="123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34"/>
    </row>
    <row r="96" spans="1:44" ht="15" customHeight="1">
      <c r="A96" s="455">
        <f>SUM('Лист выплат'!A51)</f>
        <v>0</v>
      </c>
      <c r="B96" s="457">
        <f>SUM('Лист выплат'!B51)</f>
        <v>15</v>
      </c>
      <c r="C96" s="459">
        <f>SUM(D96:W96)</f>
        <v>0</v>
      </c>
      <c r="D96" s="124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29"/>
      <c r="X96" s="463">
        <f>SUM(Y96:AR96)</f>
        <v>0</v>
      </c>
      <c r="Y96" s="124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33"/>
    </row>
    <row r="97" spans="1:44" ht="15.75" customHeight="1">
      <c r="A97" s="456"/>
      <c r="B97" s="458"/>
      <c r="C97" s="460"/>
      <c r="D97" s="123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30"/>
      <c r="X97" s="464"/>
      <c r="Y97" s="123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34"/>
    </row>
    <row r="98" spans="1:44" ht="16.350000000000001">
      <c r="A98" s="450" t="s">
        <v>7</v>
      </c>
      <c r="B98" s="447"/>
      <c r="C98" s="447"/>
      <c r="D98" s="447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8"/>
      <c r="X98" s="449" t="s">
        <v>7</v>
      </c>
      <c r="Y98" s="445"/>
      <c r="Z98" s="445"/>
      <c r="AA98" s="445"/>
      <c r="AB98" s="445"/>
      <c r="AC98" s="445"/>
      <c r="AD98" s="445"/>
      <c r="AE98" s="445"/>
      <c r="AF98" s="445"/>
      <c r="AG98" s="445"/>
      <c r="AH98" s="445"/>
      <c r="AI98" s="445"/>
      <c r="AJ98" s="445"/>
      <c r="AK98" s="445"/>
      <c r="AL98" s="445"/>
      <c r="AM98" s="445"/>
      <c r="AN98" s="445"/>
      <c r="AO98" s="445"/>
      <c r="AP98" s="445"/>
      <c r="AQ98" s="445"/>
      <c r="AR98" s="446"/>
    </row>
    <row r="99" spans="1:44" ht="15" customHeight="1">
      <c r="A99" s="455" t="s">
        <v>169</v>
      </c>
      <c r="B99" s="457">
        <f>SUM('Лист выплат'!B52)</f>
        <v>4</v>
      </c>
      <c r="C99" s="459">
        <f>SUM(D99:W99)</f>
        <v>0</v>
      </c>
      <c r="D99" s="124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29"/>
      <c r="X99" s="463">
        <f>SUM(Y99:AR99)</f>
        <v>600</v>
      </c>
      <c r="Y99" s="599">
        <v>600</v>
      </c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33"/>
    </row>
    <row r="100" spans="1:44" ht="15.75" customHeight="1">
      <c r="A100" s="456"/>
      <c r="B100" s="458"/>
      <c r="C100" s="460"/>
      <c r="D100" s="123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30"/>
      <c r="X100" s="464"/>
      <c r="Y100" s="600" t="s">
        <v>208</v>
      </c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34"/>
    </row>
    <row r="101" spans="1:44" ht="15" customHeight="1">
      <c r="A101" s="455" t="s">
        <v>169</v>
      </c>
      <c r="B101" s="457">
        <f>SUM('Лист выплат'!B53)</f>
        <v>52</v>
      </c>
      <c r="C101" s="459">
        <f t="shared" ref="C101" si="38">SUM(D101:W101)</f>
        <v>0</v>
      </c>
      <c r="D101" s="124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29"/>
      <c r="X101" s="463">
        <f>SUM(Y101:AR101)</f>
        <v>0</v>
      </c>
      <c r="Y101" s="115"/>
      <c r="Z101" s="116"/>
      <c r="AA101" s="116"/>
      <c r="AB101" s="116"/>
      <c r="AC101" s="116"/>
      <c r="AD101" s="116"/>
      <c r="AE101" s="117"/>
      <c r="AF101" s="117"/>
      <c r="AG101" s="117"/>
      <c r="AH101" s="117"/>
      <c r="AI101" s="117"/>
      <c r="AJ101" s="117"/>
      <c r="AK101" s="117"/>
      <c r="AL101" s="117"/>
      <c r="AM101" s="117"/>
      <c r="AN101" s="117"/>
      <c r="AO101" s="117"/>
      <c r="AP101" s="117"/>
      <c r="AQ101" s="117"/>
      <c r="AR101" s="133"/>
    </row>
    <row r="102" spans="1:44" ht="15.75" customHeight="1">
      <c r="A102" s="456"/>
      <c r="B102" s="458"/>
      <c r="C102" s="460"/>
      <c r="D102" s="123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30"/>
      <c r="X102" s="464"/>
      <c r="Y102" s="118"/>
      <c r="Z102" s="119"/>
      <c r="AA102" s="137"/>
      <c r="AB102" s="119"/>
      <c r="AC102" s="137"/>
      <c r="AD102" s="119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34"/>
    </row>
    <row r="103" spans="1:44" ht="15" customHeight="1">
      <c r="A103" s="455" t="s">
        <v>169</v>
      </c>
      <c r="B103" s="457">
        <f>SUM('Лист выплат'!B54)</f>
        <v>0</v>
      </c>
      <c r="C103" s="459">
        <f t="shared" ref="C103" si="39">SUM(D103:W103)</f>
        <v>0</v>
      </c>
      <c r="D103" s="124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29"/>
      <c r="X103" s="463">
        <f>SUM(Y103:AR103)</f>
        <v>0</v>
      </c>
      <c r="Y103" s="115"/>
      <c r="Z103" s="116"/>
      <c r="AA103" s="116"/>
      <c r="AB103" s="116"/>
      <c r="AC103" s="116"/>
      <c r="AD103" s="116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33"/>
    </row>
    <row r="104" spans="1:44" ht="15.75" customHeight="1">
      <c r="A104" s="456"/>
      <c r="B104" s="458"/>
      <c r="C104" s="460"/>
      <c r="D104" s="123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30"/>
      <c r="X104" s="464"/>
      <c r="Y104" s="118"/>
      <c r="Z104" s="119"/>
      <c r="AA104" s="119"/>
      <c r="AB104" s="119"/>
      <c r="AC104" s="119"/>
      <c r="AD104" s="119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34"/>
    </row>
    <row r="105" spans="1:44" ht="15" customHeight="1">
      <c r="A105" s="455" t="s">
        <v>169</v>
      </c>
      <c r="B105" s="457">
        <f>SUM('Лист выплат'!B55)</f>
        <v>0</v>
      </c>
      <c r="C105" s="459">
        <f t="shared" ref="C105" si="40">SUM(D105:W105)</f>
        <v>0</v>
      </c>
      <c r="D105" s="124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29"/>
      <c r="X105" s="463">
        <f t="shared" ref="X105" si="41">SUM(Y105:AR105)</f>
        <v>0</v>
      </c>
      <c r="Y105" s="124"/>
      <c r="Z105" s="116"/>
      <c r="AA105" s="116"/>
      <c r="AB105" s="116"/>
      <c r="AC105" s="116"/>
      <c r="AD105" s="116"/>
      <c r="AE105" s="117"/>
      <c r="AF105" s="117"/>
      <c r="AG105" s="117"/>
      <c r="AH105" s="117"/>
      <c r="AI105" s="117"/>
      <c r="AJ105" s="117"/>
      <c r="AK105" s="117"/>
      <c r="AL105" s="117"/>
      <c r="AM105" s="117"/>
      <c r="AN105" s="117"/>
      <c r="AO105" s="117"/>
      <c r="AP105" s="117"/>
      <c r="AQ105" s="117"/>
      <c r="AR105" s="133"/>
    </row>
    <row r="106" spans="1:44" ht="15.75" customHeight="1">
      <c r="A106" s="456"/>
      <c r="B106" s="458"/>
      <c r="C106" s="460"/>
      <c r="D106" s="123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30"/>
      <c r="X106" s="464"/>
      <c r="Y106" s="123"/>
      <c r="Z106" s="119"/>
      <c r="AA106" s="119"/>
      <c r="AB106" s="119"/>
      <c r="AC106" s="119"/>
      <c r="AD106" s="119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34"/>
    </row>
    <row r="107" spans="1:44" ht="15" customHeight="1">
      <c r="A107" s="455" t="s">
        <v>172</v>
      </c>
      <c r="B107" s="457">
        <f>SUM('Лист выплат'!B56)</f>
        <v>21</v>
      </c>
      <c r="C107" s="459">
        <f t="shared" ref="C107" si="42">SUM(D107:W107)</f>
        <v>0</v>
      </c>
      <c r="D107" s="124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29"/>
      <c r="X107" s="463">
        <f t="shared" ref="X107" si="43">SUM(Y107:AR107)</f>
        <v>10400</v>
      </c>
      <c r="Y107" s="124">
        <v>900</v>
      </c>
      <c r="Z107" s="116">
        <v>500</v>
      </c>
      <c r="AA107" s="573">
        <v>900</v>
      </c>
      <c r="AB107" s="124">
        <v>900</v>
      </c>
      <c r="AC107" s="116">
        <v>500</v>
      </c>
      <c r="AD107" s="573">
        <v>900</v>
      </c>
      <c r="AE107" s="574">
        <v>500</v>
      </c>
      <c r="AF107" s="124">
        <v>900</v>
      </c>
      <c r="AG107" s="117">
        <v>1200</v>
      </c>
      <c r="AH107" s="117">
        <v>500</v>
      </c>
      <c r="AI107" s="574">
        <v>900</v>
      </c>
      <c r="AJ107" s="124">
        <v>900</v>
      </c>
      <c r="AK107" s="124">
        <v>900</v>
      </c>
      <c r="AL107" s="117"/>
      <c r="AM107" s="117"/>
      <c r="AN107" s="117"/>
      <c r="AO107" s="117"/>
      <c r="AP107" s="117"/>
      <c r="AQ107" s="117"/>
      <c r="AR107" s="133"/>
    </row>
    <row r="108" spans="1:44" ht="15.75" customHeight="1">
      <c r="A108" s="456"/>
      <c r="B108" s="458"/>
      <c r="C108" s="460"/>
      <c r="D108" s="123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30"/>
      <c r="X108" s="464"/>
      <c r="Y108" s="123" t="s">
        <v>217</v>
      </c>
      <c r="Z108" s="119" t="s">
        <v>218</v>
      </c>
      <c r="AA108" s="575" t="s">
        <v>217</v>
      </c>
      <c r="AB108" s="123" t="s">
        <v>217</v>
      </c>
      <c r="AC108" s="119" t="s">
        <v>218</v>
      </c>
      <c r="AD108" s="575" t="s">
        <v>217</v>
      </c>
      <c r="AE108" s="576" t="s">
        <v>218</v>
      </c>
      <c r="AF108" s="123" t="s">
        <v>217</v>
      </c>
      <c r="AG108" s="120" t="s">
        <v>219</v>
      </c>
      <c r="AH108" s="120" t="s">
        <v>218</v>
      </c>
      <c r="AI108" s="576" t="s">
        <v>217</v>
      </c>
      <c r="AJ108" s="123" t="s">
        <v>217</v>
      </c>
      <c r="AK108" s="123" t="s">
        <v>217</v>
      </c>
      <c r="AL108" s="120"/>
      <c r="AM108" s="120"/>
      <c r="AN108" s="120"/>
      <c r="AO108" s="120"/>
      <c r="AP108" s="120"/>
      <c r="AQ108" s="120"/>
      <c r="AR108" s="134"/>
    </row>
    <row r="109" spans="1:44" ht="15" customHeight="1">
      <c r="A109" s="455" t="s">
        <v>172</v>
      </c>
      <c r="B109" s="457">
        <f>SUM('Лист выплат'!B57)</f>
        <v>0</v>
      </c>
      <c r="C109" s="459">
        <f t="shared" ref="C109" si="44">SUM(D109:W109)</f>
        <v>0</v>
      </c>
      <c r="D109" s="124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29"/>
      <c r="X109" s="463">
        <f t="shared" ref="X109" si="45">SUM(Y109:AR109)</f>
        <v>0</v>
      </c>
      <c r="Y109" s="124"/>
      <c r="Z109" s="116"/>
      <c r="AA109" s="116"/>
      <c r="AB109" s="116"/>
      <c r="AC109" s="116"/>
      <c r="AD109" s="116"/>
      <c r="AE109" s="117"/>
      <c r="AF109" s="117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33"/>
    </row>
    <row r="110" spans="1:44" ht="15.75" customHeight="1">
      <c r="A110" s="456"/>
      <c r="B110" s="458"/>
      <c r="C110" s="460"/>
      <c r="D110" s="123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30"/>
      <c r="X110" s="464"/>
      <c r="Y110" s="136"/>
      <c r="Z110" s="122"/>
      <c r="AA110" s="122"/>
      <c r="AB110" s="119"/>
      <c r="AC110" s="119"/>
      <c r="AD110" s="119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34"/>
    </row>
    <row r="111" spans="1:44" ht="15" customHeight="1">
      <c r="A111" s="455" t="s">
        <v>174</v>
      </c>
      <c r="B111" s="457">
        <f>SUM('Лист выплат'!B58)</f>
        <v>14</v>
      </c>
      <c r="C111" s="459">
        <f t="shared" ref="C111" si="46">SUM(D111:W111)</f>
        <v>0</v>
      </c>
      <c r="D111" s="115"/>
      <c r="E111" s="116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29"/>
      <c r="X111" s="463">
        <f t="shared" ref="X111" si="47">SUM(Y111:AR111)</f>
        <v>0</v>
      </c>
      <c r="Y111" s="124"/>
      <c r="Z111" s="116"/>
      <c r="AA111" s="116"/>
      <c r="AB111" s="116"/>
      <c r="AC111" s="116"/>
      <c r="AD111" s="116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33"/>
    </row>
    <row r="112" spans="1:44" ht="15.75" customHeight="1">
      <c r="A112" s="456"/>
      <c r="B112" s="458"/>
      <c r="C112" s="460"/>
      <c r="D112" s="121"/>
      <c r="E112" s="119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30"/>
      <c r="X112" s="464"/>
      <c r="Y112" s="123"/>
      <c r="Z112" s="119"/>
      <c r="AA112" s="119"/>
      <c r="AB112" s="119"/>
      <c r="AC112" s="119"/>
      <c r="AD112" s="119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34"/>
    </row>
    <row r="113" spans="1:44" ht="15" customHeight="1">
      <c r="A113" s="455" t="s">
        <v>176</v>
      </c>
      <c r="B113" s="457">
        <f>SUM('Лист выплат'!B59)</f>
        <v>69</v>
      </c>
      <c r="C113" s="459">
        <f t="shared" ref="C113" si="48">SUM(D113:W113)</f>
        <v>0</v>
      </c>
      <c r="D113" s="115"/>
      <c r="E113" s="116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29"/>
      <c r="X113" s="463">
        <f t="shared" ref="X113" si="49">SUM(Y113:AR113)</f>
        <v>0</v>
      </c>
      <c r="Y113" s="124"/>
      <c r="Z113" s="116"/>
      <c r="AA113" s="116"/>
      <c r="AB113" s="116"/>
      <c r="AC113" s="116"/>
      <c r="AD113" s="116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33"/>
    </row>
    <row r="114" spans="1:44" ht="15.75" customHeight="1">
      <c r="A114" s="456"/>
      <c r="B114" s="458"/>
      <c r="C114" s="460"/>
      <c r="D114" s="118"/>
      <c r="E114" s="119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30"/>
      <c r="X114" s="464"/>
      <c r="Y114" s="118"/>
      <c r="Z114" s="119"/>
      <c r="AA114" s="119"/>
      <c r="AB114" s="119"/>
      <c r="AC114" s="119"/>
      <c r="AD114" s="119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34"/>
    </row>
    <row r="115" spans="1:44" ht="15" customHeight="1">
      <c r="A115" s="455" t="s">
        <v>178</v>
      </c>
      <c r="B115" s="457">
        <f>SUM('Лист выплат'!B60)</f>
        <v>17</v>
      </c>
      <c r="C115" s="459">
        <f t="shared" ref="C115" si="50">SUM(D115:W115)</f>
        <v>0</v>
      </c>
      <c r="D115" s="115"/>
      <c r="E115" s="116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29"/>
      <c r="X115" s="463">
        <f t="shared" ref="X115" si="51">SUM(Y115:AR115)</f>
        <v>0</v>
      </c>
      <c r="Y115" s="115"/>
      <c r="Z115" s="116"/>
      <c r="AA115" s="116"/>
      <c r="AB115" s="116"/>
      <c r="AC115" s="116"/>
      <c r="AD115" s="116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33"/>
    </row>
    <row r="116" spans="1:44" ht="15.75" customHeight="1">
      <c r="A116" s="456"/>
      <c r="B116" s="458"/>
      <c r="C116" s="460"/>
      <c r="D116" s="118"/>
      <c r="E116" s="119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30"/>
      <c r="X116" s="464"/>
      <c r="Y116" s="118"/>
      <c r="Z116" s="119"/>
      <c r="AA116" s="119"/>
      <c r="AB116" s="119"/>
      <c r="AC116" s="119"/>
      <c r="AD116" s="119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34"/>
    </row>
    <row r="117" spans="1:44" ht="15" customHeight="1">
      <c r="A117" s="455" t="s">
        <v>178</v>
      </c>
      <c r="B117" s="457">
        <f>SUM('Лист выплат'!B61)</f>
        <v>0</v>
      </c>
      <c r="C117" s="459">
        <f t="shared" ref="C117" si="52">SUM(D117:W117)</f>
        <v>0</v>
      </c>
      <c r="D117" s="115"/>
      <c r="E117" s="116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29"/>
      <c r="X117" s="463">
        <f t="shared" ref="X117" si="53">SUM(Y117:AR117)</f>
        <v>0</v>
      </c>
      <c r="Y117" s="115"/>
      <c r="Z117" s="116"/>
      <c r="AA117" s="116"/>
      <c r="AB117" s="116"/>
      <c r="AC117" s="116"/>
      <c r="AD117" s="116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33"/>
    </row>
    <row r="118" spans="1:44" ht="15.75" customHeight="1">
      <c r="A118" s="456"/>
      <c r="B118" s="458"/>
      <c r="C118" s="460"/>
      <c r="D118" s="123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30"/>
      <c r="X118" s="464"/>
      <c r="Y118" s="118"/>
      <c r="Z118" s="119"/>
      <c r="AA118" s="119"/>
      <c r="AB118" s="119"/>
      <c r="AC118" s="119"/>
      <c r="AD118" s="119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34"/>
    </row>
    <row r="119" spans="1:44" ht="15.75" customHeight="1">
      <c r="A119" s="455" t="s">
        <v>180</v>
      </c>
      <c r="B119" s="457">
        <f>SUM('Лист выплат'!B62)</f>
        <v>0</v>
      </c>
      <c r="C119" s="459">
        <f t="shared" ref="C119" si="54">SUM(D119:W119)</f>
        <v>0</v>
      </c>
      <c r="D119" s="124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29"/>
      <c r="X119" s="463">
        <f>SUM(Y119:AR119)</f>
        <v>0</v>
      </c>
      <c r="Y119" s="115"/>
      <c r="Z119" s="116"/>
      <c r="AA119" s="116"/>
      <c r="AB119" s="116"/>
      <c r="AC119" s="116"/>
      <c r="AD119" s="116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33"/>
    </row>
    <row r="120" spans="1:44" ht="15.75" customHeight="1">
      <c r="A120" s="456"/>
      <c r="B120" s="458"/>
      <c r="C120" s="460"/>
      <c r="D120" s="123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30"/>
      <c r="X120" s="464"/>
      <c r="Y120" s="123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34"/>
    </row>
    <row r="121" spans="1:44" ht="15">
      <c r="A121" s="455" t="s">
        <v>180</v>
      </c>
      <c r="B121" s="457">
        <f>SUM('Лист выплат'!B63)</f>
        <v>0</v>
      </c>
      <c r="C121" s="459">
        <f t="shared" ref="C121" si="55">SUM(D121:W121)</f>
        <v>0</v>
      </c>
      <c r="D121" s="124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29"/>
      <c r="X121" s="463">
        <f>SUM(Y121:AR121)</f>
        <v>0</v>
      </c>
      <c r="Y121" s="115"/>
      <c r="Z121" s="116"/>
      <c r="AA121" s="116"/>
      <c r="AB121" s="116"/>
      <c r="AC121" s="116"/>
      <c r="AD121" s="116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133"/>
    </row>
    <row r="122" spans="1:44" ht="15.75">
      <c r="A122" s="456"/>
      <c r="B122" s="458"/>
      <c r="C122" s="460"/>
      <c r="D122" s="123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30"/>
      <c r="X122" s="464"/>
      <c r="Y122" s="123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34"/>
    </row>
    <row r="123" spans="1:44" ht="15" customHeight="1">
      <c r="A123" s="455" t="s">
        <v>181</v>
      </c>
      <c r="B123" s="457">
        <f>SUM('Лист выплат'!B65)</f>
        <v>0</v>
      </c>
      <c r="C123" s="459">
        <f t="shared" ref="C123" si="56">SUM(D123:W123)</f>
        <v>0</v>
      </c>
      <c r="D123" s="124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29"/>
      <c r="X123" s="463">
        <f>SUM(Y123:AR123)</f>
        <v>0</v>
      </c>
      <c r="Y123" s="115"/>
      <c r="Z123" s="116"/>
      <c r="AA123" s="116"/>
      <c r="AB123" s="116"/>
      <c r="AC123" s="116"/>
      <c r="AD123" s="116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33"/>
    </row>
    <row r="124" spans="1:44" ht="15.75" customHeight="1">
      <c r="A124" s="456"/>
      <c r="B124" s="458"/>
      <c r="C124" s="460"/>
      <c r="D124" s="123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30"/>
      <c r="X124" s="464"/>
      <c r="Y124" s="123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34"/>
    </row>
    <row r="125" spans="1:44" ht="15">
      <c r="A125" s="455" t="s">
        <v>181</v>
      </c>
      <c r="B125" s="457">
        <f>SUM('Лист выплат'!B67)</f>
        <v>0</v>
      </c>
      <c r="C125" s="459">
        <f t="shared" ref="C125" si="57">SUM(D125:W125)</f>
        <v>0</v>
      </c>
      <c r="D125" s="124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29"/>
      <c r="X125" s="463">
        <f t="shared" ref="X125" si="58">SUM(Y125:AR125)</f>
        <v>0</v>
      </c>
      <c r="Y125" s="115"/>
      <c r="Z125" s="116"/>
      <c r="AA125" s="116"/>
      <c r="AB125" s="116"/>
      <c r="AC125" s="116"/>
      <c r="AD125" s="116"/>
      <c r="AE125" s="117"/>
      <c r="AF125" s="117"/>
      <c r="AG125" s="117"/>
      <c r="AH125" s="117"/>
      <c r="AI125" s="117"/>
      <c r="AJ125" s="117"/>
      <c r="AK125" s="117"/>
      <c r="AL125" s="117"/>
      <c r="AM125" s="117"/>
      <c r="AN125" s="117"/>
      <c r="AO125" s="117"/>
      <c r="AP125" s="117"/>
      <c r="AQ125" s="117"/>
      <c r="AR125" s="133"/>
    </row>
    <row r="126" spans="1:44" ht="15.75">
      <c r="A126" s="456"/>
      <c r="B126" s="458"/>
      <c r="C126" s="460"/>
      <c r="D126" s="123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30"/>
      <c r="X126" s="464"/>
      <c r="Y126" s="123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34"/>
    </row>
    <row r="127" spans="1:44" ht="15">
      <c r="A127" s="455" t="s">
        <v>181</v>
      </c>
      <c r="B127" s="457">
        <f>SUM('Лист выплат'!B69)</f>
        <v>0</v>
      </c>
      <c r="C127" s="459">
        <f t="shared" ref="C127" si="59">SUM(D127:W127)</f>
        <v>0</v>
      </c>
      <c r="D127" s="124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29"/>
      <c r="X127" s="463">
        <f t="shared" ref="X127" si="60">SUM(Y127:AR127)</f>
        <v>0</v>
      </c>
      <c r="Y127" s="115"/>
      <c r="Z127" s="116"/>
      <c r="AA127" s="116"/>
      <c r="AB127" s="116"/>
      <c r="AC127" s="116"/>
      <c r="AD127" s="116"/>
      <c r="AE127" s="117"/>
      <c r="AF127" s="117"/>
      <c r="AG127" s="117"/>
      <c r="AH127" s="117"/>
      <c r="AI127" s="117"/>
      <c r="AJ127" s="117"/>
      <c r="AK127" s="117"/>
      <c r="AL127" s="117"/>
      <c r="AM127" s="117"/>
      <c r="AN127" s="117"/>
      <c r="AO127" s="117"/>
      <c r="AP127" s="117"/>
      <c r="AQ127" s="117"/>
      <c r="AR127" s="133"/>
    </row>
    <row r="128" spans="1:44" ht="15.75">
      <c r="A128" s="456"/>
      <c r="B128" s="458"/>
      <c r="C128" s="460"/>
      <c r="D128" s="123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30"/>
      <c r="X128" s="464"/>
      <c r="Y128" s="123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34"/>
    </row>
    <row r="129" spans="3:24">
      <c r="C129" s="111">
        <f>'Лист выплат'!H68</f>
        <v>108600</v>
      </c>
      <c r="X129" s="138">
        <f>SUM('Лист выплат'!I68)</f>
        <v>21900</v>
      </c>
    </row>
    <row r="130" spans="3:24">
      <c r="X130" s="138"/>
    </row>
    <row r="131" spans="3:24">
      <c r="X131" s="138"/>
    </row>
    <row r="132" spans="3:24">
      <c r="X132" s="138"/>
    </row>
    <row r="133" spans="3:24">
      <c r="X133" s="138"/>
    </row>
    <row r="134" spans="3:24">
      <c r="X134" s="138"/>
    </row>
    <row r="135" spans="3:24">
      <c r="X135" s="138"/>
    </row>
    <row r="136" spans="3:24">
      <c r="X136" s="138"/>
    </row>
    <row r="137" spans="3:24">
      <c r="X137" s="138"/>
    </row>
    <row r="138" spans="3:24">
      <c r="X138" s="138"/>
    </row>
    <row r="139" spans="3:24">
      <c r="X139" s="138"/>
    </row>
    <row r="140" spans="3:24">
      <c r="X140" s="138"/>
    </row>
    <row r="141" spans="3:24">
      <c r="X141" s="138"/>
    </row>
    <row r="142" spans="3:24">
      <c r="X142" s="138"/>
    </row>
    <row r="143" spans="3:24">
      <c r="X143" s="138"/>
    </row>
    <row r="144" spans="3:24">
      <c r="X144" s="138"/>
    </row>
    <row r="145" spans="24:24">
      <c r="X145" s="138"/>
    </row>
    <row r="146" spans="24:24">
      <c r="X146" s="138"/>
    </row>
    <row r="147" spans="24:24">
      <c r="X147" s="138"/>
    </row>
    <row r="148" spans="24:24">
      <c r="X148" s="138"/>
    </row>
    <row r="149" spans="24:24">
      <c r="X149" s="138"/>
    </row>
    <row r="150" spans="24:24">
      <c r="X150" s="138"/>
    </row>
    <row r="151" spans="24:24">
      <c r="X151" s="138"/>
    </row>
    <row r="152" spans="24:24">
      <c r="X152" s="138"/>
    </row>
    <row r="153" spans="24:24">
      <c r="X153" s="138"/>
    </row>
    <row r="154" spans="24:24">
      <c r="X154" s="138"/>
    </row>
    <row r="155" spans="24:24">
      <c r="X155" s="138"/>
    </row>
    <row r="156" spans="24:24">
      <c r="X156" s="138"/>
    </row>
    <row r="157" spans="24:24">
      <c r="X157" s="138"/>
    </row>
    <row r="158" spans="24:24">
      <c r="X158" s="138"/>
    </row>
    <row r="159" spans="24:24">
      <c r="X159" s="138"/>
    </row>
    <row r="160" spans="24:24">
      <c r="X160" s="138"/>
    </row>
    <row r="161" spans="24:24">
      <c r="X161" s="138"/>
    </row>
    <row r="162" spans="24:24">
      <c r="X162" s="138"/>
    </row>
    <row r="163" spans="24:24">
      <c r="X163" s="138"/>
    </row>
    <row r="164" spans="24:24">
      <c r="X164" s="138"/>
    </row>
    <row r="165" spans="24:24">
      <c r="X165" s="138"/>
    </row>
    <row r="166" spans="24:24">
      <c r="X166" s="138"/>
    </row>
    <row r="167" spans="24:24">
      <c r="X167" s="138"/>
    </row>
    <row r="168" spans="24:24">
      <c r="X168" s="138"/>
    </row>
    <row r="169" spans="24:24">
      <c r="X169" s="138"/>
    </row>
    <row r="170" spans="24:24">
      <c r="X170" s="138"/>
    </row>
    <row r="171" spans="24:24">
      <c r="X171" s="138"/>
    </row>
    <row r="172" spans="24:24">
      <c r="X172" s="138"/>
    </row>
    <row r="173" spans="24:24">
      <c r="X173" s="138"/>
    </row>
    <row r="174" spans="24:24">
      <c r="X174" s="138"/>
    </row>
    <row r="175" spans="24:24">
      <c r="X175" s="138"/>
    </row>
    <row r="176" spans="24:24">
      <c r="X176" s="138"/>
    </row>
    <row r="177" spans="24:24">
      <c r="X177" s="138"/>
    </row>
    <row r="178" spans="24:24">
      <c r="X178" s="138"/>
    </row>
    <row r="179" spans="24:24">
      <c r="X179" s="138"/>
    </row>
    <row r="180" spans="24:24">
      <c r="X180" s="138"/>
    </row>
    <row r="181" spans="24:24">
      <c r="X181" s="138"/>
    </row>
    <row r="182" spans="24:24">
      <c r="X182" s="138"/>
    </row>
    <row r="183" spans="24:24">
      <c r="X183" s="138"/>
    </row>
    <row r="184" spans="24:24">
      <c r="X184" s="138"/>
    </row>
    <row r="185" spans="24:24">
      <c r="X185" s="138"/>
    </row>
    <row r="186" spans="24:24">
      <c r="X186" s="138"/>
    </row>
    <row r="187" spans="24:24">
      <c r="X187" s="138"/>
    </row>
    <row r="188" spans="24:24">
      <c r="X188" s="138"/>
    </row>
    <row r="189" spans="24:24">
      <c r="X189" s="138"/>
    </row>
    <row r="190" spans="24:24">
      <c r="X190" s="138"/>
    </row>
    <row r="191" spans="24:24">
      <c r="X191" s="138"/>
    </row>
    <row r="192" spans="24:24">
      <c r="X192" s="138"/>
    </row>
    <row r="193" spans="24:24">
      <c r="X193" s="138"/>
    </row>
    <row r="194" spans="24:24">
      <c r="X194" s="138"/>
    </row>
    <row r="195" spans="24:24">
      <c r="X195" s="138"/>
    </row>
    <row r="196" spans="24:24">
      <c r="X196" s="138"/>
    </row>
    <row r="197" spans="24:24">
      <c r="X197" s="138"/>
    </row>
    <row r="198" spans="24:24">
      <c r="X198" s="138"/>
    </row>
    <row r="199" spans="24:24">
      <c r="X199" s="138"/>
    </row>
    <row r="200" spans="24:24">
      <c r="X200" s="138"/>
    </row>
    <row r="201" spans="24:24">
      <c r="X201" s="138"/>
    </row>
    <row r="202" spans="24:24">
      <c r="X202" s="138"/>
    </row>
    <row r="203" spans="24:24">
      <c r="X203" s="138"/>
    </row>
    <row r="204" spans="24:24">
      <c r="X204" s="138"/>
    </row>
    <row r="205" spans="24:24">
      <c r="X205" s="138"/>
    </row>
    <row r="206" spans="24:24">
      <c r="X206" s="138"/>
    </row>
    <row r="207" spans="24:24">
      <c r="X207" s="138"/>
    </row>
    <row r="208" spans="24:24">
      <c r="X208" s="138"/>
    </row>
    <row r="209" spans="24:24">
      <c r="X209" s="138"/>
    </row>
    <row r="210" spans="24:24">
      <c r="X210" s="138"/>
    </row>
    <row r="211" spans="24:24">
      <c r="X211" s="138"/>
    </row>
    <row r="212" spans="24:24">
      <c r="X212" s="138"/>
    </row>
    <row r="213" spans="24:24">
      <c r="X213" s="138"/>
    </row>
    <row r="214" spans="24:24">
      <c r="X214" s="138"/>
    </row>
    <row r="215" spans="24:24">
      <c r="X215" s="138"/>
    </row>
    <row r="216" spans="24:24">
      <c r="X216" s="138"/>
    </row>
    <row r="217" spans="24:24">
      <c r="X217" s="138"/>
    </row>
    <row r="218" spans="24:24">
      <c r="X218" s="138"/>
    </row>
    <row r="219" spans="24:24">
      <c r="X219" s="138"/>
    </row>
    <row r="220" spans="24:24">
      <c r="X220" s="138"/>
    </row>
    <row r="221" spans="24:24">
      <c r="X221" s="138"/>
    </row>
    <row r="222" spans="24:24">
      <c r="X222" s="138"/>
    </row>
    <row r="223" spans="24:24">
      <c r="X223" s="138"/>
    </row>
    <row r="224" spans="24:24">
      <c r="X224" s="138"/>
    </row>
    <row r="225" spans="24:24">
      <c r="X225" s="138"/>
    </row>
    <row r="226" spans="24:24">
      <c r="X226" s="138"/>
    </row>
  </sheetData>
  <mergeCells count="259">
    <mergeCell ref="AT5:AU6"/>
    <mergeCell ref="X113:X114"/>
    <mergeCell ref="X115:X116"/>
    <mergeCell ref="X117:X118"/>
    <mergeCell ref="X119:X120"/>
    <mergeCell ref="X121:X122"/>
    <mergeCell ref="X123:X124"/>
    <mergeCell ref="X125:X126"/>
    <mergeCell ref="X127:X128"/>
    <mergeCell ref="X94:X95"/>
    <mergeCell ref="X96:X97"/>
    <mergeCell ref="X99:X100"/>
    <mergeCell ref="X101:X102"/>
    <mergeCell ref="X103:X104"/>
    <mergeCell ref="X105:X106"/>
    <mergeCell ref="X107:X108"/>
    <mergeCell ref="X109:X110"/>
    <mergeCell ref="X111:X112"/>
    <mergeCell ref="X75:X76"/>
    <mergeCell ref="X77:X78"/>
    <mergeCell ref="X79:X80"/>
    <mergeCell ref="X81:X82"/>
    <mergeCell ref="X84:X85"/>
    <mergeCell ref="X86:X87"/>
    <mergeCell ref="X88:X89"/>
    <mergeCell ref="X90:X91"/>
    <mergeCell ref="X92:X93"/>
    <mergeCell ref="X56:X57"/>
    <mergeCell ref="X58:X59"/>
    <mergeCell ref="X60:X61"/>
    <mergeCell ref="X62:X63"/>
    <mergeCell ref="X64:X65"/>
    <mergeCell ref="X66:X67"/>
    <mergeCell ref="X68:X69"/>
    <mergeCell ref="X70:X71"/>
    <mergeCell ref="X73:X74"/>
    <mergeCell ref="X37:X38"/>
    <mergeCell ref="X39:X40"/>
    <mergeCell ref="X41:X42"/>
    <mergeCell ref="X43:X44"/>
    <mergeCell ref="X45:X46"/>
    <mergeCell ref="X47:X48"/>
    <mergeCell ref="X49:X50"/>
    <mergeCell ref="X51:X52"/>
    <mergeCell ref="X53:X54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X4:X5"/>
    <mergeCell ref="X6:X7"/>
    <mergeCell ref="X8:X9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5:X36"/>
    <mergeCell ref="C94:C95"/>
    <mergeCell ref="C96:C97"/>
    <mergeCell ref="C99:C100"/>
    <mergeCell ref="C101:C102"/>
    <mergeCell ref="C103:C104"/>
    <mergeCell ref="C105:C106"/>
    <mergeCell ref="C107:C108"/>
    <mergeCell ref="C109:C110"/>
    <mergeCell ref="C111:C112"/>
    <mergeCell ref="C75:C76"/>
    <mergeCell ref="C77:C78"/>
    <mergeCell ref="C79:C80"/>
    <mergeCell ref="C81:C82"/>
    <mergeCell ref="C84:C85"/>
    <mergeCell ref="C86:C87"/>
    <mergeCell ref="C88:C89"/>
    <mergeCell ref="C90:C91"/>
    <mergeCell ref="C92:C93"/>
    <mergeCell ref="C56:C57"/>
    <mergeCell ref="C58:C59"/>
    <mergeCell ref="C60:C61"/>
    <mergeCell ref="C62:C63"/>
    <mergeCell ref="C64:C65"/>
    <mergeCell ref="C66:C67"/>
    <mergeCell ref="C68:C69"/>
    <mergeCell ref="C70:C71"/>
    <mergeCell ref="C73:C74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5:C36"/>
    <mergeCell ref="B94:B95"/>
    <mergeCell ref="B96:B97"/>
    <mergeCell ref="B99:B100"/>
    <mergeCell ref="B101:B102"/>
    <mergeCell ref="B103:B104"/>
    <mergeCell ref="B105:B106"/>
    <mergeCell ref="B107:B108"/>
    <mergeCell ref="B109:B110"/>
    <mergeCell ref="B111:B112"/>
    <mergeCell ref="B75:B76"/>
    <mergeCell ref="B77:B78"/>
    <mergeCell ref="B79:B80"/>
    <mergeCell ref="B81:B82"/>
    <mergeCell ref="B84:B85"/>
    <mergeCell ref="B86:B87"/>
    <mergeCell ref="B88:B89"/>
    <mergeCell ref="B90:B91"/>
    <mergeCell ref="B92:B93"/>
    <mergeCell ref="B56:B57"/>
    <mergeCell ref="B58:B59"/>
    <mergeCell ref="B60:B61"/>
    <mergeCell ref="B62:B63"/>
    <mergeCell ref="B64:B65"/>
    <mergeCell ref="B66:B67"/>
    <mergeCell ref="B68:B69"/>
    <mergeCell ref="B70:B71"/>
    <mergeCell ref="B73:B74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5:B36"/>
    <mergeCell ref="A94:A95"/>
    <mergeCell ref="A96:A97"/>
    <mergeCell ref="A99:A100"/>
    <mergeCell ref="A101:A102"/>
    <mergeCell ref="A103:A104"/>
    <mergeCell ref="A105:A106"/>
    <mergeCell ref="A107:A108"/>
    <mergeCell ref="A109:A110"/>
    <mergeCell ref="A111:A112"/>
    <mergeCell ref="A75:A76"/>
    <mergeCell ref="A77:A78"/>
    <mergeCell ref="A79:A80"/>
    <mergeCell ref="A81:A82"/>
    <mergeCell ref="A84:A85"/>
    <mergeCell ref="A86:A87"/>
    <mergeCell ref="A88:A89"/>
    <mergeCell ref="A90:A91"/>
    <mergeCell ref="A92:A93"/>
    <mergeCell ref="A56:A57"/>
    <mergeCell ref="A58:A59"/>
    <mergeCell ref="A60:A61"/>
    <mergeCell ref="A62:A63"/>
    <mergeCell ref="A64:A65"/>
    <mergeCell ref="A66:A67"/>
    <mergeCell ref="A68:A69"/>
    <mergeCell ref="A70:A71"/>
    <mergeCell ref="A73:A74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B55:W55"/>
    <mergeCell ref="Y55:AR55"/>
    <mergeCell ref="B72:W72"/>
    <mergeCell ref="X72:AR72"/>
    <mergeCell ref="B83:W83"/>
    <mergeCell ref="X83:AR83"/>
    <mergeCell ref="A98:W98"/>
    <mergeCell ref="X98:AR98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5:A36"/>
    <mergeCell ref="C1:J1"/>
    <mergeCell ref="K1:M1"/>
    <mergeCell ref="N1:W1"/>
    <mergeCell ref="A2:B2"/>
    <mergeCell ref="D2:W2"/>
    <mergeCell ref="Y2:AR2"/>
    <mergeCell ref="A3:W3"/>
    <mergeCell ref="Y3:AR3"/>
    <mergeCell ref="A34:W34"/>
    <mergeCell ref="Y34:AR34"/>
  </mergeCells>
  <pageMargins left="0.23622047244094499" right="0.23622047244094499" top="0.74803149606299202" bottom="0.74803149606299202" header="0.31496062992126" footer="0.31496062992126"/>
  <pageSetup paperSize="9" scale="70" orientation="landscape"/>
  <ignoredErrors>
    <ignoredError sqref="X123:X128 B123:C128 B105:B122 B103 B101 B99 Z21:AR32 G32:X33 G30:X31 G28:X29 G26:X27 G22:X24 G25:X25 AB8:AR13 G20:X21 G18:X19 S16:X17 G14:X15 P12:X13 P10:X10 G8:X9 AA6:AR7 X4:X7 A4:C33 H4:W5 X52 Z43:AR53 E49:X51 E47:X48 E46:X46 F43:X45 AG35:AR42 F41:X42 F40:X40 X35:X38 E52:W53 B54:W54 B37:C53 H39:X39 H35:W38 Z54:AR55 F66:X68 F69:X70 F64:X65 F62:X63 F60:X61 X56:X59 B71:X71 B56:C70 E82:W82 AA73:AR81 X82:AR83 E79:X81 E77:X78 X73:X76 B75:C82 E73:W76 AA84:AR96 X97:AR98 G94:X96 G92:X93 G90:X91 G88:X89 G86:X87 G84:X85 A97:W97 A89:E96 Z116:AR120 X118 AA115:AR115 X99:X116 AE105:AR106 Z99:AR104 F117:X117 F111:W116 E99:W110 E118:W120 B98:W98 Y72:AR72 C72:W72 X53:X55 Z33:AR34 B34:X34 X119:X121 C99:C121 A120 A118 A116 A114 A112 A110 A108 A106 A104:B104 A102:B102 A100:B100 B84:E88 A83:W83 B73:C73 A74:C74 B35:C35 A36:C36 A72 P11:X11 AE109:AR114 AL107:AR107 M6:W7 AL108:AR108 AA4:AR5 AB16:AR20 AD14:AR15 Z58:AR71 AA56:AR57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5">
    <tabColor theme="8" tint="0.39994506668294322"/>
    <pageSetUpPr fitToPage="1"/>
  </sheetPr>
  <dimension ref="A1:V140"/>
  <sheetViews>
    <sheetView topLeftCell="A98" zoomScale="60" zoomScaleNormal="60" workbookViewId="0">
      <selection activeCell="C7" sqref="C7:C8"/>
    </sheetView>
  </sheetViews>
  <sheetFormatPr defaultColWidth="8.85546875" defaultRowHeight="17.45"/>
  <cols>
    <col min="1" max="1" width="12.7109375" style="102" customWidth="1"/>
    <col min="2" max="2" width="8.85546875" customWidth="1"/>
    <col min="3" max="19" width="8.7109375" customWidth="1"/>
  </cols>
  <sheetData>
    <row r="1" spans="1:22" s="101" customFormat="1" ht="15.95" customHeight="1">
      <c r="A1" s="465" t="s">
        <v>220</v>
      </c>
      <c r="B1" s="465"/>
      <c r="C1" s="465"/>
      <c r="D1" s="465"/>
      <c r="E1" s="466"/>
      <c r="F1" s="467" t="s">
        <v>221</v>
      </c>
      <c r="G1" s="468"/>
      <c r="H1" s="469" t="s">
        <v>222</v>
      </c>
      <c r="I1" s="470"/>
      <c r="J1" s="470"/>
      <c r="K1" s="470"/>
      <c r="L1" s="470"/>
      <c r="M1" s="471" t="s">
        <v>223</v>
      </c>
      <c r="N1" s="472"/>
      <c r="O1" s="472"/>
      <c r="P1" s="472"/>
      <c r="Q1" s="472"/>
      <c r="R1" s="473"/>
      <c r="S1" s="103" t="s">
        <v>224</v>
      </c>
      <c r="T1" s="104"/>
      <c r="U1" s="104"/>
      <c r="V1" s="104"/>
    </row>
    <row r="2" spans="1:22" s="101" customFormat="1" ht="15.95" customHeight="1">
      <c r="A2" s="474" t="s">
        <v>147</v>
      </c>
      <c r="B2" s="474"/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5"/>
      <c r="T2" s="104"/>
      <c r="U2" s="104"/>
      <c r="V2" s="104"/>
    </row>
    <row r="3" spans="1:22" ht="12.95" customHeight="1">
      <c r="A3" s="483" t="s">
        <v>148</v>
      </c>
      <c r="B3" s="494">
        <f>SUM('Лист выплат'!B3)</f>
        <v>3</v>
      </c>
      <c r="C3" s="503"/>
      <c r="D3" s="505"/>
      <c r="E3" s="503"/>
      <c r="F3" s="505"/>
      <c r="G3" s="503"/>
      <c r="H3" s="505"/>
      <c r="I3" s="503"/>
      <c r="J3" s="505"/>
      <c r="K3" s="503"/>
      <c r="L3" s="507"/>
      <c r="M3" s="503"/>
      <c r="N3" s="505"/>
      <c r="O3" s="503"/>
      <c r="P3" s="505"/>
      <c r="Q3" s="503"/>
      <c r="R3" s="505"/>
      <c r="S3" s="509">
        <f>SUM(C3:R4)</f>
        <v>0</v>
      </c>
    </row>
    <row r="4" spans="1:22" ht="12.95" customHeight="1">
      <c r="A4" s="484"/>
      <c r="B4" s="495"/>
      <c r="C4" s="504"/>
      <c r="D4" s="506"/>
      <c r="E4" s="504"/>
      <c r="F4" s="506"/>
      <c r="G4" s="504"/>
      <c r="H4" s="506"/>
      <c r="I4" s="504"/>
      <c r="J4" s="506"/>
      <c r="K4" s="504"/>
      <c r="L4" s="508"/>
      <c r="M4" s="504"/>
      <c r="N4" s="506"/>
      <c r="O4" s="504"/>
      <c r="P4" s="506"/>
      <c r="Q4" s="504"/>
      <c r="R4" s="506"/>
      <c r="S4" s="510"/>
    </row>
    <row r="5" spans="1:22" ht="12.95" customHeight="1">
      <c r="A5" s="483" t="s">
        <v>148</v>
      </c>
      <c r="B5" s="494">
        <f>SUM('Лист выплат'!B4)</f>
        <v>5</v>
      </c>
      <c r="C5" s="581">
        <v>1000</v>
      </c>
      <c r="D5" s="505">
        <v>500</v>
      </c>
      <c r="E5" s="583">
        <v>3000</v>
      </c>
      <c r="F5" s="505">
        <v>500</v>
      </c>
      <c r="G5" s="503"/>
      <c r="H5" s="505"/>
      <c r="I5" s="503"/>
      <c r="J5" s="505"/>
      <c r="K5" s="503"/>
      <c r="L5" s="507"/>
      <c r="M5" s="503"/>
      <c r="N5" s="505"/>
      <c r="O5" s="503"/>
      <c r="P5" s="505"/>
      <c r="Q5" s="503"/>
      <c r="R5" s="505"/>
      <c r="S5" s="509">
        <f>SUM(C5:R6)</f>
        <v>5000</v>
      </c>
    </row>
    <row r="6" spans="1:22" ht="12.95" customHeight="1">
      <c r="A6" s="484"/>
      <c r="B6" s="495"/>
      <c r="C6" s="582"/>
      <c r="D6" s="506"/>
      <c r="E6" s="584"/>
      <c r="F6" s="506"/>
      <c r="G6" s="504"/>
      <c r="H6" s="506"/>
      <c r="I6" s="504"/>
      <c r="J6" s="506"/>
      <c r="K6" s="504"/>
      <c r="L6" s="508"/>
      <c r="M6" s="504"/>
      <c r="N6" s="506"/>
      <c r="O6" s="504"/>
      <c r="P6" s="506"/>
      <c r="Q6" s="504"/>
      <c r="R6" s="506"/>
      <c r="S6" s="510"/>
    </row>
    <row r="7" spans="1:22" ht="12.95" customHeight="1">
      <c r="A7" s="483" t="s">
        <v>148</v>
      </c>
      <c r="B7" s="494">
        <f>SUM('Лист выплат'!B5)</f>
        <v>9</v>
      </c>
      <c r="C7" s="503"/>
      <c r="D7" s="505"/>
      <c r="E7" s="503"/>
      <c r="F7" s="505"/>
      <c r="G7" s="503"/>
      <c r="H7" s="505"/>
      <c r="I7" s="503"/>
      <c r="J7" s="505"/>
      <c r="K7" s="503"/>
      <c r="L7" s="507"/>
      <c r="M7" s="503"/>
      <c r="N7" s="505"/>
      <c r="O7" s="503"/>
      <c r="P7" s="505"/>
      <c r="Q7" s="503"/>
      <c r="R7" s="505"/>
      <c r="S7" s="509">
        <f>SUM(C7:R8)</f>
        <v>0</v>
      </c>
    </row>
    <row r="8" spans="1:22" ht="12.95" customHeight="1">
      <c r="A8" s="484"/>
      <c r="B8" s="495"/>
      <c r="C8" s="504"/>
      <c r="D8" s="506"/>
      <c r="E8" s="504"/>
      <c r="F8" s="506"/>
      <c r="G8" s="504"/>
      <c r="H8" s="506"/>
      <c r="I8" s="504"/>
      <c r="J8" s="506"/>
      <c r="K8" s="504"/>
      <c r="L8" s="508"/>
      <c r="M8" s="504"/>
      <c r="N8" s="506"/>
      <c r="O8" s="504"/>
      <c r="P8" s="506"/>
      <c r="Q8" s="504"/>
      <c r="R8" s="506"/>
      <c r="S8" s="510"/>
    </row>
    <row r="9" spans="1:22" ht="12.95" customHeight="1">
      <c r="A9" s="483" t="s">
        <v>148</v>
      </c>
      <c r="B9" s="494">
        <f>SUM('Лист выплат'!B6)</f>
        <v>11</v>
      </c>
      <c r="C9" s="581">
        <v>1000</v>
      </c>
      <c r="D9" s="505">
        <v>3000</v>
      </c>
      <c r="E9" s="583">
        <v>2000</v>
      </c>
      <c r="F9" s="505">
        <v>1000</v>
      </c>
      <c r="G9" s="503"/>
      <c r="H9" s="505"/>
      <c r="I9" s="503"/>
      <c r="J9" s="505"/>
      <c r="K9" s="503"/>
      <c r="L9" s="507"/>
      <c r="M9" s="503"/>
      <c r="N9" s="505"/>
      <c r="O9" s="503"/>
      <c r="P9" s="505"/>
      <c r="Q9" s="503"/>
      <c r="R9" s="505"/>
      <c r="S9" s="509">
        <f>SUM(C9:R10)</f>
        <v>7000</v>
      </c>
    </row>
    <row r="10" spans="1:22" ht="12.95" customHeight="1">
      <c r="A10" s="484"/>
      <c r="B10" s="495"/>
      <c r="C10" s="582"/>
      <c r="D10" s="506"/>
      <c r="E10" s="584"/>
      <c r="F10" s="506"/>
      <c r="G10" s="504"/>
      <c r="H10" s="506"/>
      <c r="I10" s="504"/>
      <c r="J10" s="506"/>
      <c r="K10" s="504"/>
      <c r="L10" s="508"/>
      <c r="M10" s="504"/>
      <c r="N10" s="506"/>
      <c r="O10" s="504"/>
      <c r="P10" s="506"/>
      <c r="Q10" s="504"/>
      <c r="R10" s="506"/>
      <c r="S10" s="510"/>
    </row>
    <row r="11" spans="1:22" ht="12.95" customHeight="1">
      <c r="A11" s="483" t="s">
        <v>148</v>
      </c>
      <c r="B11" s="494">
        <f>SUM('Лист выплат'!B7)</f>
        <v>18</v>
      </c>
      <c r="C11" s="503">
        <v>1000</v>
      </c>
      <c r="D11" s="505"/>
      <c r="E11" s="503"/>
      <c r="F11" s="505"/>
      <c r="G11" s="503"/>
      <c r="H11" s="505"/>
      <c r="I11" s="503"/>
      <c r="J11" s="505"/>
      <c r="K11" s="503"/>
      <c r="L11" s="507"/>
      <c r="M11" s="503"/>
      <c r="N11" s="505"/>
      <c r="O11" s="503"/>
      <c r="P11" s="505"/>
      <c r="Q11" s="503"/>
      <c r="R11" s="505"/>
      <c r="S11" s="509">
        <f>SUM(C11:R12)</f>
        <v>1000</v>
      </c>
    </row>
    <row r="12" spans="1:22" ht="12.95" customHeight="1">
      <c r="A12" s="484"/>
      <c r="B12" s="495"/>
      <c r="C12" s="504"/>
      <c r="D12" s="506"/>
      <c r="E12" s="504"/>
      <c r="F12" s="506"/>
      <c r="G12" s="504"/>
      <c r="H12" s="506"/>
      <c r="I12" s="504"/>
      <c r="J12" s="506"/>
      <c r="K12" s="504"/>
      <c r="L12" s="508"/>
      <c r="M12" s="504"/>
      <c r="N12" s="506"/>
      <c r="O12" s="504"/>
      <c r="P12" s="506"/>
      <c r="Q12" s="504"/>
      <c r="R12" s="506"/>
      <c r="S12" s="510"/>
    </row>
    <row r="13" spans="1:22" ht="12.95" customHeight="1">
      <c r="A13" s="483" t="s">
        <v>148</v>
      </c>
      <c r="B13" s="494">
        <f>SUM('Лист выплат'!B8)</f>
        <v>21</v>
      </c>
      <c r="C13" s="503">
        <v>1000</v>
      </c>
      <c r="D13" s="581">
        <v>2500</v>
      </c>
      <c r="E13" s="503">
        <v>1000</v>
      </c>
      <c r="F13" s="505">
        <v>5000</v>
      </c>
      <c r="G13" s="503"/>
      <c r="H13" s="505"/>
      <c r="I13" s="503"/>
      <c r="J13" s="505"/>
      <c r="K13" s="503"/>
      <c r="L13" s="507"/>
      <c r="M13" s="503"/>
      <c r="N13" s="505"/>
      <c r="O13" s="503"/>
      <c r="P13" s="505"/>
      <c r="Q13" s="503"/>
      <c r="R13" s="505"/>
      <c r="S13" s="509">
        <f>SUM(C13:R14)</f>
        <v>9500</v>
      </c>
    </row>
    <row r="14" spans="1:22" ht="12.95" customHeight="1">
      <c r="A14" s="484"/>
      <c r="B14" s="495"/>
      <c r="C14" s="504"/>
      <c r="D14" s="582"/>
      <c r="E14" s="504"/>
      <c r="F14" s="506"/>
      <c r="G14" s="504"/>
      <c r="H14" s="506"/>
      <c r="I14" s="504"/>
      <c r="J14" s="506"/>
      <c r="K14" s="504"/>
      <c r="L14" s="508"/>
      <c r="M14" s="504"/>
      <c r="N14" s="506"/>
      <c r="O14" s="504"/>
      <c r="P14" s="506"/>
      <c r="Q14" s="504"/>
      <c r="R14" s="506"/>
      <c r="S14" s="510"/>
    </row>
    <row r="15" spans="1:22" ht="12.95" customHeight="1">
      <c r="A15" s="483" t="s">
        <v>148</v>
      </c>
      <c r="B15" s="494">
        <f>SUM('Лист выплат'!B9)</f>
        <v>66</v>
      </c>
      <c r="C15" s="503">
        <v>1000</v>
      </c>
      <c r="D15" s="581">
        <v>1000</v>
      </c>
      <c r="E15" s="503">
        <v>500</v>
      </c>
      <c r="F15" s="583">
        <v>2000</v>
      </c>
      <c r="G15" s="583">
        <v>2500</v>
      </c>
      <c r="H15" s="505">
        <v>1000</v>
      </c>
      <c r="I15" s="583">
        <v>4000</v>
      </c>
      <c r="J15" s="505">
        <v>2000</v>
      </c>
      <c r="K15" s="503"/>
      <c r="L15" s="507"/>
      <c r="M15" s="503"/>
      <c r="N15" s="505"/>
      <c r="O15" s="503"/>
      <c r="P15" s="505"/>
      <c r="Q15" s="503"/>
      <c r="R15" s="505"/>
      <c r="S15" s="509">
        <f>SUM(C15:R16)</f>
        <v>14000</v>
      </c>
    </row>
    <row r="16" spans="1:22" ht="12.95" customHeight="1">
      <c r="A16" s="484"/>
      <c r="B16" s="495"/>
      <c r="C16" s="504"/>
      <c r="D16" s="582"/>
      <c r="E16" s="504"/>
      <c r="F16" s="584"/>
      <c r="G16" s="584"/>
      <c r="H16" s="506"/>
      <c r="I16" s="584"/>
      <c r="J16" s="506"/>
      <c r="K16" s="504"/>
      <c r="L16" s="508"/>
      <c r="M16" s="504"/>
      <c r="N16" s="506"/>
      <c r="O16" s="504"/>
      <c r="P16" s="506"/>
      <c r="Q16" s="504"/>
      <c r="R16" s="506"/>
      <c r="S16" s="510"/>
    </row>
    <row r="17" spans="1:19" ht="12.95" customHeight="1">
      <c r="A17" s="483" t="s">
        <v>148</v>
      </c>
      <c r="B17" s="494">
        <f>SUM('Лист выплат'!B10)</f>
        <v>0</v>
      </c>
      <c r="C17" s="503"/>
      <c r="D17" s="505"/>
      <c r="E17" s="503"/>
      <c r="F17" s="505"/>
      <c r="G17" s="503"/>
      <c r="H17" s="505"/>
      <c r="I17" s="503"/>
      <c r="J17" s="505"/>
      <c r="K17" s="503"/>
      <c r="L17" s="507"/>
      <c r="M17" s="503"/>
      <c r="N17" s="505"/>
      <c r="O17" s="503"/>
      <c r="P17" s="505"/>
      <c r="Q17" s="503"/>
      <c r="R17" s="505"/>
      <c r="S17" s="509">
        <f>SUM(C17:R18)</f>
        <v>0</v>
      </c>
    </row>
    <row r="18" spans="1:19" ht="12.95" customHeight="1">
      <c r="A18" s="484"/>
      <c r="B18" s="495"/>
      <c r="C18" s="504"/>
      <c r="D18" s="506"/>
      <c r="E18" s="504"/>
      <c r="F18" s="506"/>
      <c r="G18" s="504"/>
      <c r="H18" s="506"/>
      <c r="I18" s="504"/>
      <c r="J18" s="506"/>
      <c r="K18" s="504"/>
      <c r="L18" s="508"/>
      <c r="M18" s="504"/>
      <c r="N18" s="506"/>
      <c r="O18" s="504"/>
      <c r="P18" s="506"/>
      <c r="Q18" s="504"/>
      <c r="R18" s="506"/>
      <c r="S18" s="510"/>
    </row>
    <row r="19" spans="1:19" ht="12.95" customHeight="1">
      <c r="A19" s="483" t="s">
        <v>148</v>
      </c>
      <c r="B19" s="494">
        <f>SUM('Лист выплат'!B11)</f>
        <v>0</v>
      </c>
      <c r="C19" s="503"/>
      <c r="D19" s="505"/>
      <c r="E19" s="503"/>
      <c r="F19" s="505"/>
      <c r="G19" s="503"/>
      <c r="H19" s="505"/>
      <c r="I19" s="503"/>
      <c r="J19" s="505"/>
      <c r="K19" s="503"/>
      <c r="L19" s="507"/>
      <c r="M19" s="503"/>
      <c r="N19" s="505"/>
      <c r="O19" s="503"/>
      <c r="P19" s="505"/>
      <c r="Q19" s="503"/>
      <c r="R19" s="505"/>
      <c r="S19" s="509">
        <f>SUM(C19:R20)</f>
        <v>0</v>
      </c>
    </row>
    <row r="20" spans="1:19" ht="12.95" customHeight="1">
      <c r="A20" s="484"/>
      <c r="B20" s="495"/>
      <c r="C20" s="504"/>
      <c r="D20" s="506"/>
      <c r="E20" s="504"/>
      <c r="F20" s="506"/>
      <c r="G20" s="504"/>
      <c r="H20" s="506"/>
      <c r="I20" s="504"/>
      <c r="J20" s="506"/>
      <c r="K20" s="504"/>
      <c r="L20" s="508"/>
      <c r="M20" s="504"/>
      <c r="N20" s="506"/>
      <c r="O20" s="504"/>
      <c r="P20" s="506"/>
      <c r="Q20" s="504"/>
      <c r="R20" s="506"/>
      <c r="S20" s="510"/>
    </row>
    <row r="21" spans="1:19" ht="12.95" customHeight="1">
      <c r="A21" s="483" t="s">
        <v>148</v>
      </c>
      <c r="B21" s="494">
        <f>SUM('Лист выплат'!B12)</f>
        <v>0</v>
      </c>
      <c r="C21" s="503"/>
      <c r="D21" s="505"/>
      <c r="E21" s="503"/>
      <c r="F21" s="505"/>
      <c r="G21" s="503"/>
      <c r="H21" s="505"/>
      <c r="I21" s="503"/>
      <c r="J21" s="505"/>
      <c r="K21" s="503"/>
      <c r="L21" s="507"/>
      <c r="M21" s="503"/>
      <c r="N21" s="505"/>
      <c r="O21" s="503"/>
      <c r="P21" s="505"/>
      <c r="Q21" s="503"/>
      <c r="R21" s="505"/>
      <c r="S21" s="509">
        <f>SUM(C21:R22)</f>
        <v>0</v>
      </c>
    </row>
    <row r="22" spans="1:19" ht="12.95" customHeight="1">
      <c r="A22" s="484"/>
      <c r="B22" s="495"/>
      <c r="C22" s="504"/>
      <c r="D22" s="506"/>
      <c r="E22" s="504"/>
      <c r="F22" s="506"/>
      <c r="G22" s="504"/>
      <c r="H22" s="506"/>
      <c r="I22" s="504"/>
      <c r="J22" s="506"/>
      <c r="K22" s="504"/>
      <c r="L22" s="508"/>
      <c r="M22" s="504"/>
      <c r="N22" s="506"/>
      <c r="O22" s="504"/>
      <c r="P22" s="506"/>
      <c r="Q22" s="504"/>
      <c r="R22" s="506"/>
      <c r="S22" s="510"/>
    </row>
    <row r="23" spans="1:19" ht="12.95" customHeight="1">
      <c r="A23" s="483" t="s">
        <v>148</v>
      </c>
      <c r="B23" s="494">
        <f>SUM('Лист выплат'!B13)</f>
        <v>0</v>
      </c>
      <c r="C23" s="503"/>
      <c r="D23" s="505"/>
      <c r="E23" s="503"/>
      <c r="F23" s="505"/>
      <c r="G23" s="503"/>
      <c r="H23" s="505"/>
      <c r="I23" s="503"/>
      <c r="J23" s="505"/>
      <c r="K23" s="503"/>
      <c r="L23" s="507"/>
      <c r="M23" s="503"/>
      <c r="N23" s="505"/>
      <c r="O23" s="503"/>
      <c r="P23" s="505"/>
      <c r="Q23" s="503"/>
      <c r="R23" s="505"/>
      <c r="S23" s="509">
        <f>SUM(C23:R24)</f>
        <v>0</v>
      </c>
    </row>
    <row r="24" spans="1:19" ht="12.95" customHeight="1">
      <c r="A24" s="484"/>
      <c r="B24" s="495"/>
      <c r="C24" s="504"/>
      <c r="D24" s="506"/>
      <c r="E24" s="504"/>
      <c r="F24" s="506"/>
      <c r="G24" s="504"/>
      <c r="H24" s="506"/>
      <c r="I24" s="504"/>
      <c r="J24" s="506"/>
      <c r="K24" s="504"/>
      <c r="L24" s="508"/>
      <c r="M24" s="504"/>
      <c r="N24" s="506"/>
      <c r="O24" s="504"/>
      <c r="P24" s="506"/>
      <c r="Q24" s="504"/>
      <c r="R24" s="506"/>
      <c r="S24" s="510"/>
    </row>
    <row r="25" spans="1:19" ht="12.95" customHeight="1">
      <c r="A25" s="483" t="s">
        <v>148</v>
      </c>
      <c r="B25" s="494">
        <f>SUM('Лист выплат'!B13)</f>
        <v>0</v>
      </c>
      <c r="C25" s="503"/>
      <c r="D25" s="505"/>
      <c r="E25" s="503"/>
      <c r="F25" s="505"/>
      <c r="G25" s="503"/>
      <c r="H25" s="505"/>
      <c r="I25" s="503"/>
      <c r="J25" s="505"/>
      <c r="K25" s="503"/>
      <c r="L25" s="507"/>
      <c r="M25" s="503"/>
      <c r="N25" s="505"/>
      <c r="O25" s="503"/>
      <c r="P25" s="505"/>
      <c r="Q25" s="503"/>
      <c r="R25" s="505"/>
      <c r="S25" s="509">
        <f>SUM(C25:R26)</f>
        <v>0</v>
      </c>
    </row>
    <row r="26" spans="1:19" ht="12.95" customHeight="1">
      <c r="A26" s="484"/>
      <c r="B26" s="495"/>
      <c r="C26" s="504"/>
      <c r="D26" s="506"/>
      <c r="E26" s="504"/>
      <c r="F26" s="506"/>
      <c r="G26" s="504"/>
      <c r="H26" s="506"/>
      <c r="I26" s="504"/>
      <c r="J26" s="506"/>
      <c r="K26" s="504"/>
      <c r="L26" s="508"/>
      <c r="M26" s="504"/>
      <c r="N26" s="506"/>
      <c r="O26" s="504"/>
      <c r="P26" s="506"/>
      <c r="Q26" s="504"/>
      <c r="R26" s="506"/>
      <c r="S26" s="510"/>
    </row>
    <row r="27" spans="1:19" ht="12.95" customHeight="1">
      <c r="A27" s="483" t="s">
        <v>148</v>
      </c>
      <c r="B27" s="494">
        <f>SUM('Лист выплат'!B15)</f>
        <v>0</v>
      </c>
      <c r="C27" s="503"/>
      <c r="D27" s="505"/>
      <c r="E27" s="503"/>
      <c r="F27" s="505"/>
      <c r="G27" s="503"/>
      <c r="H27" s="505"/>
      <c r="I27" s="503"/>
      <c r="J27" s="505"/>
      <c r="K27" s="503"/>
      <c r="L27" s="507"/>
      <c r="M27" s="503"/>
      <c r="N27" s="505"/>
      <c r="O27" s="503"/>
      <c r="P27" s="505"/>
      <c r="Q27" s="503"/>
      <c r="R27" s="505"/>
      <c r="S27" s="509">
        <f>SUM(C27:R28)</f>
        <v>0</v>
      </c>
    </row>
    <row r="28" spans="1:19" ht="12.95" customHeight="1">
      <c r="A28" s="484"/>
      <c r="B28" s="495"/>
      <c r="C28" s="504"/>
      <c r="D28" s="506"/>
      <c r="E28" s="504"/>
      <c r="F28" s="506"/>
      <c r="G28" s="504"/>
      <c r="H28" s="506"/>
      <c r="I28" s="504"/>
      <c r="J28" s="506"/>
      <c r="K28" s="504"/>
      <c r="L28" s="508"/>
      <c r="M28" s="504"/>
      <c r="N28" s="506"/>
      <c r="O28" s="504"/>
      <c r="P28" s="506"/>
      <c r="Q28" s="504"/>
      <c r="R28" s="506"/>
      <c r="S28" s="510"/>
    </row>
    <row r="29" spans="1:19" ht="12.95" customHeight="1">
      <c r="A29" s="483" t="s">
        <v>148</v>
      </c>
      <c r="B29" s="494">
        <f>SUM('Лист выплат'!B16)</f>
        <v>0</v>
      </c>
      <c r="C29" s="503"/>
      <c r="D29" s="505"/>
      <c r="E29" s="503"/>
      <c r="F29" s="505"/>
      <c r="G29" s="503"/>
      <c r="H29" s="505"/>
      <c r="I29" s="503"/>
      <c r="J29" s="505"/>
      <c r="K29" s="503"/>
      <c r="L29" s="507"/>
      <c r="M29" s="503"/>
      <c r="N29" s="505"/>
      <c r="O29" s="503"/>
      <c r="P29" s="505"/>
      <c r="Q29" s="503"/>
      <c r="R29" s="505"/>
      <c r="S29" s="509">
        <f>SUM(C29:R30)</f>
        <v>0</v>
      </c>
    </row>
    <row r="30" spans="1:19" ht="12.95" customHeight="1">
      <c r="A30" s="484"/>
      <c r="B30" s="495"/>
      <c r="C30" s="504"/>
      <c r="D30" s="506"/>
      <c r="E30" s="504"/>
      <c r="F30" s="506"/>
      <c r="G30" s="504"/>
      <c r="H30" s="506"/>
      <c r="I30" s="504"/>
      <c r="J30" s="506"/>
      <c r="K30" s="504"/>
      <c r="L30" s="508"/>
      <c r="M30" s="504"/>
      <c r="N30" s="506"/>
      <c r="O30" s="504"/>
      <c r="P30" s="506"/>
      <c r="Q30" s="504"/>
      <c r="R30" s="506"/>
      <c r="S30" s="510"/>
    </row>
    <row r="31" spans="1:19" ht="12.95" customHeight="1">
      <c r="A31" s="483" t="s">
        <v>148</v>
      </c>
      <c r="B31" s="494">
        <f>SUM('Лист выплат'!B17)</f>
        <v>0</v>
      </c>
      <c r="C31" s="503"/>
      <c r="D31" s="505"/>
      <c r="E31" s="503"/>
      <c r="F31" s="505"/>
      <c r="G31" s="503"/>
      <c r="H31" s="505"/>
      <c r="I31" s="503"/>
      <c r="J31" s="505"/>
      <c r="K31" s="503"/>
      <c r="L31" s="507"/>
      <c r="M31" s="503"/>
      <c r="N31" s="505"/>
      <c r="O31" s="503"/>
      <c r="P31" s="505"/>
      <c r="Q31" s="503"/>
      <c r="R31" s="505"/>
      <c r="S31" s="509">
        <f>SUM(C31:R32)</f>
        <v>0</v>
      </c>
    </row>
    <row r="32" spans="1:19" ht="12.95" customHeight="1">
      <c r="A32" s="484"/>
      <c r="B32" s="495"/>
      <c r="C32" s="504"/>
      <c r="D32" s="506"/>
      <c r="E32" s="504"/>
      <c r="F32" s="506"/>
      <c r="G32" s="504"/>
      <c r="H32" s="506"/>
      <c r="I32" s="504"/>
      <c r="J32" s="506"/>
      <c r="K32" s="504"/>
      <c r="L32" s="508"/>
      <c r="M32" s="504"/>
      <c r="N32" s="506"/>
      <c r="O32" s="504"/>
      <c r="P32" s="506"/>
      <c r="Q32" s="504"/>
      <c r="R32" s="506"/>
      <c r="S32" s="510"/>
    </row>
    <row r="33" spans="1:19" ht="16.5" customHeight="1">
      <c r="A33" s="476" t="s">
        <v>156</v>
      </c>
      <c r="B33" s="476"/>
      <c r="C33" s="476"/>
      <c r="D33" s="476"/>
      <c r="E33" s="476"/>
      <c r="F33" s="476"/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6"/>
    </row>
    <row r="34" spans="1:19" ht="12.95" customHeight="1">
      <c r="A34" s="483" t="s">
        <v>157</v>
      </c>
      <c r="B34" s="496">
        <f>SUM('Лист выплат'!B19)</f>
        <v>0</v>
      </c>
      <c r="C34" s="503"/>
      <c r="D34" s="505"/>
      <c r="E34" s="503"/>
      <c r="F34" s="505"/>
      <c r="G34" s="503"/>
      <c r="H34" s="505"/>
      <c r="I34" s="503"/>
      <c r="J34" s="505"/>
      <c r="K34" s="503"/>
      <c r="L34" s="507"/>
      <c r="M34" s="503"/>
      <c r="N34" s="505"/>
      <c r="O34" s="503"/>
      <c r="P34" s="505"/>
      <c r="Q34" s="503"/>
      <c r="R34" s="505"/>
      <c r="S34" s="509">
        <f>SUM(C34:R35)</f>
        <v>0</v>
      </c>
    </row>
    <row r="35" spans="1:19" ht="12.95" customHeight="1">
      <c r="A35" s="484"/>
      <c r="B35" s="497"/>
      <c r="C35" s="504"/>
      <c r="D35" s="506"/>
      <c r="E35" s="504"/>
      <c r="F35" s="506"/>
      <c r="G35" s="504"/>
      <c r="H35" s="506"/>
      <c r="I35" s="504"/>
      <c r="J35" s="506"/>
      <c r="K35" s="504"/>
      <c r="L35" s="508"/>
      <c r="M35" s="504"/>
      <c r="N35" s="506"/>
      <c r="O35" s="504"/>
      <c r="P35" s="506"/>
      <c r="Q35" s="504"/>
      <c r="R35" s="506"/>
      <c r="S35" s="510"/>
    </row>
    <row r="36" spans="1:19" ht="12.95" customHeight="1">
      <c r="A36" s="483" t="s">
        <v>157</v>
      </c>
      <c r="B36" s="496">
        <f>SUM('Лист выплат'!B20)</f>
        <v>0</v>
      </c>
      <c r="C36" s="503"/>
      <c r="D36" s="505"/>
      <c r="E36" s="503"/>
      <c r="F36" s="505"/>
      <c r="G36" s="503"/>
      <c r="H36" s="505"/>
      <c r="I36" s="503"/>
      <c r="J36" s="505"/>
      <c r="K36" s="503"/>
      <c r="L36" s="507"/>
      <c r="M36" s="503"/>
      <c r="N36" s="505"/>
      <c r="O36" s="503"/>
      <c r="P36" s="505"/>
      <c r="Q36" s="503"/>
      <c r="R36" s="505"/>
      <c r="S36" s="509">
        <f>SUM(C36:R37)</f>
        <v>0</v>
      </c>
    </row>
    <row r="37" spans="1:19" ht="12.95" customHeight="1">
      <c r="A37" s="484"/>
      <c r="B37" s="497"/>
      <c r="C37" s="504"/>
      <c r="D37" s="506"/>
      <c r="E37" s="504"/>
      <c r="F37" s="506"/>
      <c r="G37" s="504"/>
      <c r="H37" s="506"/>
      <c r="I37" s="504"/>
      <c r="J37" s="506"/>
      <c r="K37" s="504"/>
      <c r="L37" s="508"/>
      <c r="M37" s="504"/>
      <c r="N37" s="506"/>
      <c r="O37" s="504"/>
      <c r="P37" s="506"/>
      <c r="Q37" s="504"/>
      <c r="R37" s="506"/>
      <c r="S37" s="510"/>
    </row>
    <row r="38" spans="1:19" ht="12.95" customHeight="1">
      <c r="A38" s="483" t="s">
        <v>157</v>
      </c>
      <c r="B38" s="496">
        <f>SUM('Лист выплат'!B21)</f>
        <v>0</v>
      </c>
      <c r="C38" s="503"/>
      <c r="D38" s="505"/>
      <c r="E38" s="503"/>
      <c r="F38" s="505"/>
      <c r="G38" s="503"/>
      <c r="H38" s="505"/>
      <c r="I38" s="503"/>
      <c r="J38" s="505"/>
      <c r="K38" s="503"/>
      <c r="L38" s="507"/>
      <c r="M38" s="503"/>
      <c r="N38" s="505"/>
      <c r="O38" s="503"/>
      <c r="P38" s="505"/>
      <c r="Q38" s="503"/>
      <c r="R38" s="505"/>
      <c r="S38" s="509">
        <f>SUM(C38:R39)</f>
        <v>0</v>
      </c>
    </row>
    <row r="39" spans="1:19" ht="12.95" customHeight="1">
      <c r="A39" s="484"/>
      <c r="B39" s="497"/>
      <c r="C39" s="504"/>
      <c r="D39" s="506"/>
      <c r="E39" s="504"/>
      <c r="F39" s="506"/>
      <c r="G39" s="504"/>
      <c r="H39" s="506"/>
      <c r="I39" s="504"/>
      <c r="J39" s="506"/>
      <c r="K39" s="504"/>
      <c r="L39" s="508"/>
      <c r="M39" s="504"/>
      <c r="N39" s="506"/>
      <c r="O39" s="504"/>
      <c r="P39" s="506"/>
      <c r="Q39" s="504"/>
      <c r="R39" s="506"/>
      <c r="S39" s="510"/>
    </row>
    <row r="40" spans="1:19" ht="12.95" customHeight="1">
      <c r="A40" s="483" t="s">
        <v>157</v>
      </c>
      <c r="B40" s="496">
        <f>SUM('Лист выплат'!B22)</f>
        <v>0</v>
      </c>
      <c r="C40" s="503"/>
      <c r="D40" s="505"/>
      <c r="E40" s="503"/>
      <c r="F40" s="505"/>
      <c r="G40" s="503"/>
      <c r="H40" s="505"/>
      <c r="I40" s="503"/>
      <c r="J40" s="505"/>
      <c r="K40" s="503"/>
      <c r="L40" s="507"/>
      <c r="M40" s="503"/>
      <c r="N40" s="505"/>
      <c r="O40" s="503"/>
      <c r="P40" s="505"/>
      <c r="Q40" s="503"/>
      <c r="R40" s="505"/>
      <c r="S40" s="509">
        <f>SUM(C40:R41)</f>
        <v>0</v>
      </c>
    </row>
    <row r="41" spans="1:19" ht="12.95" customHeight="1">
      <c r="A41" s="484"/>
      <c r="B41" s="497"/>
      <c r="C41" s="504"/>
      <c r="D41" s="506"/>
      <c r="E41" s="504"/>
      <c r="F41" s="506"/>
      <c r="G41" s="504"/>
      <c r="H41" s="506"/>
      <c r="I41" s="504"/>
      <c r="J41" s="506"/>
      <c r="K41" s="504"/>
      <c r="L41" s="508"/>
      <c r="M41" s="504"/>
      <c r="N41" s="506"/>
      <c r="O41" s="504"/>
      <c r="P41" s="506"/>
      <c r="Q41" s="504"/>
      <c r="R41" s="506"/>
      <c r="S41" s="510"/>
    </row>
    <row r="42" spans="1:19" ht="12.95" customHeight="1">
      <c r="A42" s="483" t="s">
        <v>157</v>
      </c>
      <c r="B42" s="496">
        <f>SUM('Лист выплат'!B23)</f>
        <v>0</v>
      </c>
      <c r="C42" s="503"/>
      <c r="D42" s="505"/>
      <c r="E42" s="503"/>
      <c r="F42" s="505"/>
      <c r="G42" s="503"/>
      <c r="H42" s="505"/>
      <c r="I42" s="503"/>
      <c r="J42" s="505"/>
      <c r="K42" s="503"/>
      <c r="L42" s="507"/>
      <c r="M42" s="503"/>
      <c r="N42" s="505"/>
      <c r="O42" s="503"/>
      <c r="P42" s="505"/>
      <c r="Q42" s="503"/>
      <c r="R42" s="505"/>
      <c r="S42" s="509">
        <f>SUM(C42:R43)</f>
        <v>0</v>
      </c>
    </row>
    <row r="43" spans="1:19" ht="12.95" customHeight="1">
      <c r="A43" s="484"/>
      <c r="B43" s="497"/>
      <c r="C43" s="504"/>
      <c r="D43" s="506"/>
      <c r="E43" s="504"/>
      <c r="F43" s="506"/>
      <c r="G43" s="504"/>
      <c r="H43" s="506"/>
      <c r="I43" s="504"/>
      <c r="J43" s="506"/>
      <c r="K43" s="504"/>
      <c r="L43" s="508"/>
      <c r="M43" s="504"/>
      <c r="N43" s="506"/>
      <c r="O43" s="504"/>
      <c r="P43" s="506"/>
      <c r="Q43" s="504"/>
      <c r="R43" s="506"/>
      <c r="S43" s="510"/>
    </row>
    <row r="44" spans="1:19" ht="12.95" customHeight="1">
      <c r="A44" s="483" t="s">
        <v>157</v>
      </c>
      <c r="B44" s="496">
        <f>SUM('Лист выплат'!B24)</f>
        <v>0</v>
      </c>
      <c r="C44" s="503"/>
      <c r="D44" s="505"/>
      <c r="E44" s="503"/>
      <c r="F44" s="505"/>
      <c r="G44" s="503"/>
      <c r="H44" s="505"/>
      <c r="I44" s="503"/>
      <c r="J44" s="505"/>
      <c r="K44" s="503"/>
      <c r="L44" s="507"/>
      <c r="M44" s="503"/>
      <c r="N44" s="505"/>
      <c r="O44" s="503"/>
      <c r="P44" s="505"/>
      <c r="Q44" s="503"/>
      <c r="R44" s="505"/>
      <c r="S44" s="509">
        <f>SUM(C44:R45)</f>
        <v>0</v>
      </c>
    </row>
    <row r="45" spans="1:19" ht="12.95" customHeight="1">
      <c r="A45" s="484"/>
      <c r="B45" s="497"/>
      <c r="C45" s="504"/>
      <c r="D45" s="506"/>
      <c r="E45" s="504"/>
      <c r="F45" s="506"/>
      <c r="G45" s="504"/>
      <c r="H45" s="506"/>
      <c r="I45" s="504"/>
      <c r="J45" s="506"/>
      <c r="K45" s="504"/>
      <c r="L45" s="508"/>
      <c r="M45" s="504"/>
      <c r="N45" s="506"/>
      <c r="O45" s="504"/>
      <c r="P45" s="506"/>
      <c r="Q45" s="504"/>
      <c r="R45" s="506"/>
      <c r="S45" s="510"/>
    </row>
    <row r="46" spans="1:19" ht="12.95" customHeight="1">
      <c r="A46" s="483" t="s">
        <v>157</v>
      </c>
      <c r="B46" s="496">
        <f>SUM('Лист выплат'!B25)</f>
        <v>0</v>
      </c>
      <c r="C46" s="503"/>
      <c r="D46" s="505"/>
      <c r="E46" s="503"/>
      <c r="F46" s="505"/>
      <c r="G46" s="503"/>
      <c r="H46" s="505"/>
      <c r="I46" s="503"/>
      <c r="J46" s="505"/>
      <c r="K46" s="503"/>
      <c r="L46" s="507"/>
      <c r="M46" s="503"/>
      <c r="N46" s="505"/>
      <c r="O46" s="503"/>
      <c r="P46" s="505"/>
      <c r="Q46" s="503"/>
      <c r="R46" s="505"/>
      <c r="S46" s="509">
        <f>SUM(C46:R47)</f>
        <v>0</v>
      </c>
    </row>
    <row r="47" spans="1:19" ht="12.95" customHeight="1">
      <c r="A47" s="484"/>
      <c r="B47" s="497"/>
      <c r="C47" s="504"/>
      <c r="D47" s="506"/>
      <c r="E47" s="504"/>
      <c r="F47" s="506"/>
      <c r="G47" s="504"/>
      <c r="H47" s="506"/>
      <c r="I47" s="504"/>
      <c r="J47" s="506"/>
      <c r="K47" s="504"/>
      <c r="L47" s="508"/>
      <c r="M47" s="504"/>
      <c r="N47" s="506"/>
      <c r="O47" s="504"/>
      <c r="P47" s="506"/>
      <c r="Q47" s="504"/>
      <c r="R47" s="506"/>
      <c r="S47" s="510"/>
    </row>
    <row r="48" spans="1:19" ht="12.95" customHeight="1">
      <c r="A48" s="483" t="s">
        <v>157</v>
      </c>
      <c r="B48" s="496">
        <f>SUM('Лист выплат'!B26)</f>
        <v>0</v>
      </c>
      <c r="C48" s="503"/>
      <c r="D48" s="505"/>
      <c r="E48" s="503"/>
      <c r="F48" s="505"/>
      <c r="G48" s="503"/>
      <c r="H48" s="505"/>
      <c r="I48" s="503"/>
      <c r="J48" s="505"/>
      <c r="K48" s="503"/>
      <c r="L48" s="507"/>
      <c r="M48" s="503"/>
      <c r="N48" s="505"/>
      <c r="O48" s="503"/>
      <c r="P48" s="505"/>
      <c r="Q48" s="503"/>
      <c r="R48" s="505"/>
      <c r="S48" s="509">
        <f>SUM(C48:R49)</f>
        <v>0</v>
      </c>
    </row>
    <row r="49" spans="1:19" ht="12.95" customHeight="1">
      <c r="A49" s="484"/>
      <c r="B49" s="497"/>
      <c r="C49" s="504"/>
      <c r="D49" s="506"/>
      <c r="E49" s="504"/>
      <c r="F49" s="506"/>
      <c r="G49" s="504"/>
      <c r="H49" s="506"/>
      <c r="I49" s="504"/>
      <c r="J49" s="506"/>
      <c r="K49" s="504"/>
      <c r="L49" s="508"/>
      <c r="M49" s="504"/>
      <c r="N49" s="506"/>
      <c r="O49" s="504"/>
      <c r="P49" s="506"/>
      <c r="Q49" s="504"/>
      <c r="R49" s="506"/>
      <c r="S49" s="510"/>
    </row>
    <row r="50" spans="1:19" ht="12.95" customHeight="1">
      <c r="A50" s="483" t="s">
        <v>157</v>
      </c>
      <c r="B50" s="496">
        <f>SUM('Лист выплат'!B27)</f>
        <v>0</v>
      </c>
      <c r="C50" s="503"/>
      <c r="D50" s="505"/>
      <c r="E50" s="503"/>
      <c r="F50" s="505"/>
      <c r="G50" s="503"/>
      <c r="H50" s="505"/>
      <c r="I50" s="503"/>
      <c r="J50" s="505"/>
      <c r="K50" s="503"/>
      <c r="L50" s="507"/>
      <c r="M50" s="503"/>
      <c r="N50" s="505"/>
      <c r="O50" s="503"/>
      <c r="P50" s="505"/>
      <c r="Q50" s="503"/>
      <c r="R50" s="505"/>
      <c r="S50" s="509">
        <f>SUM(C50:R51)</f>
        <v>0</v>
      </c>
    </row>
    <row r="51" spans="1:19" ht="12.95" customHeight="1">
      <c r="A51" s="484"/>
      <c r="B51" s="497"/>
      <c r="C51" s="504"/>
      <c r="D51" s="506"/>
      <c r="E51" s="504"/>
      <c r="F51" s="506"/>
      <c r="G51" s="504"/>
      <c r="H51" s="506"/>
      <c r="I51" s="504"/>
      <c r="J51" s="506"/>
      <c r="K51" s="504"/>
      <c r="L51" s="508"/>
      <c r="M51" s="504"/>
      <c r="N51" s="506"/>
      <c r="O51" s="504"/>
      <c r="P51" s="506"/>
      <c r="Q51" s="504"/>
      <c r="R51" s="506"/>
      <c r="S51" s="510"/>
    </row>
    <row r="52" spans="1:19" ht="12.95" customHeight="1">
      <c r="A52" s="483" t="s">
        <v>157</v>
      </c>
      <c r="B52" s="496">
        <f>SUM('Лист выплат'!B28)</f>
        <v>0</v>
      </c>
      <c r="C52" s="503"/>
      <c r="D52" s="505"/>
      <c r="E52" s="503"/>
      <c r="F52" s="505"/>
      <c r="G52" s="503"/>
      <c r="H52" s="505"/>
      <c r="I52" s="503"/>
      <c r="J52" s="505"/>
      <c r="K52" s="503"/>
      <c r="L52" s="507"/>
      <c r="M52" s="503"/>
      <c r="N52" s="505"/>
      <c r="O52" s="503"/>
      <c r="P52" s="505"/>
      <c r="Q52" s="503"/>
      <c r="R52" s="505"/>
      <c r="S52" s="509">
        <f>SUM(C52:R53)</f>
        <v>0</v>
      </c>
    </row>
    <row r="53" spans="1:19" ht="12.95" customHeight="1">
      <c r="A53" s="484"/>
      <c r="B53" s="497"/>
      <c r="C53" s="504"/>
      <c r="D53" s="506"/>
      <c r="E53" s="504"/>
      <c r="F53" s="506"/>
      <c r="G53" s="504"/>
      <c r="H53" s="506"/>
      <c r="I53" s="504"/>
      <c r="J53" s="506"/>
      <c r="K53" s="504"/>
      <c r="L53" s="508"/>
      <c r="M53" s="504"/>
      <c r="N53" s="506"/>
      <c r="O53" s="504"/>
      <c r="P53" s="506"/>
      <c r="Q53" s="504"/>
      <c r="R53" s="506"/>
      <c r="S53" s="510"/>
    </row>
    <row r="54" spans="1:19" ht="18" customHeight="1">
      <c r="A54" s="477" t="s">
        <v>131</v>
      </c>
      <c r="B54" s="477"/>
      <c r="C54" s="477"/>
      <c r="D54" s="477"/>
      <c r="E54" s="477"/>
      <c r="F54" s="477"/>
      <c r="G54" s="477"/>
      <c r="H54" s="477"/>
      <c r="I54" s="477"/>
      <c r="J54" s="477"/>
      <c r="K54" s="477"/>
      <c r="L54" s="477"/>
      <c r="M54" s="477"/>
      <c r="N54" s="477"/>
      <c r="O54" s="477"/>
      <c r="P54" s="477"/>
      <c r="Q54" s="477"/>
      <c r="R54" s="477"/>
      <c r="S54" s="478"/>
    </row>
    <row r="55" spans="1:19" ht="12.95" customHeight="1">
      <c r="A55" s="483" t="s">
        <v>158</v>
      </c>
      <c r="B55" s="494">
        <f>SUM('Лист выплат'!B30)</f>
        <v>3</v>
      </c>
      <c r="C55" s="503">
        <v>2000</v>
      </c>
      <c r="D55" s="581">
        <v>1000</v>
      </c>
      <c r="E55" s="503"/>
      <c r="F55" s="505"/>
      <c r="G55" s="503"/>
      <c r="H55" s="505"/>
      <c r="I55" s="503"/>
      <c r="J55" s="505"/>
      <c r="K55" s="503"/>
      <c r="L55" s="507"/>
      <c r="M55" s="503"/>
      <c r="N55" s="505"/>
      <c r="O55" s="503"/>
      <c r="P55" s="505"/>
      <c r="Q55" s="503"/>
      <c r="R55" s="505"/>
      <c r="S55" s="509">
        <f>SUM(C55:R56)</f>
        <v>3000</v>
      </c>
    </row>
    <row r="56" spans="1:19" ht="12.95" customHeight="1">
      <c r="A56" s="484"/>
      <c r="B56" s="495"/>
      <c r="C56" s="504"/>
      <c r="D56" s="582"/>
      <c r="E56" s="504"/>
      <c r="F56" s="506"/>
      <c r="G56" s="504"/>
      <c r="H56" s="506"/>
      <c r="I56" s="504"/>
      <c r="J56" s="506"/>
      <c r="K56" s="504"/>
      <c r="L56" s="508"/>
      <c r="M56" s="504"/>
      <c r="N56" s="506"/>
      <c r="O56" s="504"/>
      <c r="P56" s="506"/>
      <c r="Q56" s="504"/>
      <c r="R56" s="506"/>
      <c r="S56" s="510"/>
    </row>
    <row r="57" spans="1:19" ht="12.95" customHeight="1">
      <c r="A57" s="483" t="s">
        <v>158</v>
      </c>
      <c r="B57" s="494">
        <f>SUM('Лист выплат'!B31)</f>
        <v>4</v>
      </c>
      <c r="C57" s="503">
        <v>1000</v>
      </c>
      <c r="D57" s="581">
        <v>1500</v>
      </c>
      <c r="E57" s="503"/>
      <c r="F57" s="505"/>
      <c r="G57" s="503"/>
      <c r="H57" s="505"/>
      <c r="I57" s="503"/>
      <c r="J57" s="505"/>
      <c r="K57" s="503"/>
      <c r="L57" s="507"/>
      <c r="M57" s="503"/>
      <c r="N57" s="505"/>
      <c r="O57" s="503"/>
      <c r="P57" s="505"/>
      <c r="Q57" s="503"/>
      <c r="R57" s="505"/>
      <c r="S57" s="509">
        <f t="shared" ref="S57" si="0">SUM(C57:R58)</f>
        <v>2500</v>
      </c>
    </row>
    <row r="58" spans="1:19" ht="12.95" customHeight="1">
      <c r="A58" s="484"/>
      <c r="B58" s="495"/>
      <c r="C58" s="504"/>
      <c r="D58" s="582"/>
      <c r="E58" s="504"/>
      <c r="F58" s="506"/>
      <c r="G58" s="504"/>
      <c r="H58" s="506"/>
      <c r="I58" s="504"/>
      <c r="J58" s="506"/>
      <c r="K58" s="504"/>
      <c r="L58" s="508"/>
      <c r="M58" s="504"/>
      <c r="N58" s="506"/>
      <c r="O58" s="504"/>
      <c r="P58" s="506"/>
      <c r="Q58" s="504"/>
      <c r="R58" s="506"/>
      <c r="S58" s="510"/>
    </row>
    <row r="59" spans="1:19" ht="12.95" customHeight="1">
      <c r="A59" s="483" t="s">
        <v>158</v>
      </c>
      <c r="B59" s="494">
        <f>SUM('Лист выплат'!B32)</f>
        <v>0</v>
      </c>
      <c r="C59" s="503"/>
      <c r="D59" s="505"/>
      <c r="E59" s="503"/>
      <c r="F59" s="505"/>
      <c r="G59" s="503"/>
      <c r="H59" s="505"/>
      <c r="I59" s="503"/>
      <c r="J59" s="505"/>
      <c r="K59" s="503"/>
      <c r="L59" s="507"/>
      <c r="M59" s="503"/>
      <c r="N59" s="505"/>
      <c r="O59" s="503"/>
      <c r="P59" s="505"/>
      <c r="Q59" s="503"/>
      <c r="R59" s="505"/>
      <c r="S59" s="509">
        <f>SUM(C59:R60)</f>
        <v>0</v>
      </c>
    </row>
    <row r="60" spans="1:19" ht="12.95" customHeight="1">
      <c r="A60" s="484"/>
      <c r="B60" s="495"/>
      <c r="C60" s="504"/>
      <c r="D60" s="506"/>
      <c r="E60" s="504"/>
      <c r="F60" s="506"/>
      <c r="G60" s="504"/>
      <c r="H60" s="506"/>
      <c r="I60" s="504"/>
      <c r="J60" s="506"/>
      <c r="K60" s="504"/>
      <c r="L60" s="508"/>
      <c r="M60" s="504"/>
      <c r="N60" s="506"/>
      <c r="O60" s="504"/>
      <c r="P60" s="506"/>
      <c r="Q60" s="504"/>
      <c r="R60" s="506"/>
      <c r="S60" s="510"/>
    </row>
    <row r="61" spans="1:19" ht="12.95" customHeight="1">
      <c r="A61" s="483" t="s">
        <v>158</v>
      </c>
      <c r="B61" s="494">
        <f>SUM('Лист выплат'!B33)</f>
        <v>0</v>
      </c>
      <c r="C61" s="503"/>
      <c r="D61" s="505"/>
      <c r="E61" s="503"/>
      <c r="F61" s="505"/>
      <c r="G61" s="503"/>
      <c r="H61" s="505"/>
      <c r="I61" s="503"/>
      <c r="J61" s="505"/>
      <c r="K61" s="503"/>
      <c r="L61" s="507"/>
      <c r="M61" s="503"/>
      <c r="N61" s="505"/>
      <c r="O61" s="503"/>
      <c r="P61" s="505"/>
      <c r="Q61" s="503"/>
      <c r="R61" s="505"/>
      <c r="S61" s="509">
        <f>SUM(C61:R62)</f>
        <v>0</v>
      </c>
    </row>
    <row r="62" spans="1:19" ht="12.95" customHeight="1">
      <c r="A62" s="484"/>
      <c r="B62" s="495"/>
      <c r="C62" s="504"/>
      <c r="D62" s="506"/>
      <c r="E62" s="504"/>
      <c r="F62" s="506"/>
      <c r="G62" s="504"/>
      <c r="H62" s="506"/>
      <c r="I62" s="504"/>
      <c r="J62" s="506"/>
      <c r="K62" s="504"/>
      <c r="L62" s="508"/>
      <c r="M62" s="504"/>
      <c r="N62" s="506"/>
      <c r="O62" s="504"/>
      <c r="P62" s="506"/>
      <c r="Q62" s="504"/>
      <c r="R62" s="506"/>
      <c r="S62" s="510"/>
    </row>
    <row r="63" spans="1:19" ht="12.75" customHeight="1">
      <c r="A63" s="483" t="s">
        <v>158</v>
      </c>
      <c r="B63" s="494">
        <f>SUM('Лист выплат'!B34)</f>
        <v>0</v>
      </c>
      <c r="C63" s="503"/>
      <c r="D63" s="505"/>
      <c r="E63" s="503"/>
      <c r="F63" s="505"/>
      <c r="G63" s="503"/>
      <c r="H63" s="505"/>
      <c r="I63" s="503"/>
      <c r="J63" s="505"/>
      <c r="K63" s="503"/>
      <c r="L63" s="507"/>
      <c r="M63" s="503"/>
      <c r="N63" s="505"/>
      <c r="O63" s="503"/>
      <c r="P63" s="505"/>
      <c r="Q63" s="503"/>
      <c r="R63" s="505"/>
      <c r="S63" s="509">
        <f>SUM(C63:R64)</f>
        <v>0</v>
      </c>
    </row>
    <row r="64" spans="1:19" ht="12.95" customHeight="1">
      <c r="A64" s="484"/>
      <c r="B64" s="495"/>
      <c r="C64" s="504"/>
      <c r="D64" s="506"/>
      <c r="E64" s="504"/>
      <c r="F64" s="506"/>
      <c r="G64" s="504"/>
      <c r="H64" s="506"/>
      <c r="I64" s="504"/>
      <c r="J64" s="506"/>
      <c r="K64" s="504"/>
      <c r="L64" s="508"/>
      <c r="M64" s="504"/>
      <c r="N64" s="506"/>
      <c r="O64" s="504"/>
      <c r="P64" s="506"/>
      <c r="Q64" s="504"/>
      <c r="R64" s="506"/>
      <c r="S64" s="510"/>
    </row>
    <row r="65" spans="1:19" ht="12.95" customHeight="1">
      <c r="A65" s="483" t="s">
        <v>158</v>
      </c>
      <c r="B65" s="494">
        <f>SUM('Лист выплат'!B35)</f>
        <v>0</v>
      </c>
      <c r="C65" s="503"/>
      <c r="D65" s="505"/>
      <c r="E65" s="503"/>
      <c r="F65" s="505"/>
      <c r="G65" s="503"/>
      <c r="H65" s="505"/>
      <c r="I65" s="503"/>
      <c r="J65" s="505"/>
      <c r="K65" s="503"/>
      <c r="L65" s="507"/>
      <c r="M65" s="503"/>
      <c r="N65" s="505"/>
      <c r="O65" s="503"/>
      <c r="P65" s="505"/>
      <c r="Q65" s="503"/>
      <c r="R65" s="505"/>
      <c r="S65" s="509">
        <f>SUM(C65:R66)</f>
        <v>0</v>
      </c>
    </row>
    <row r="66" spans="1:19" ht="15.75" customHeight="1">
      <c r="A66" s="484"/>
      <c r="B66" s="495"/>
      <c r="C66" s="504"/>
      <c r="D66" s="506"/>
      <c r="E66" s="504"/>
      <c r="F66" s="506"/>
      <c r="G66" s="504"/>
      <c r="H66" s="506"/>
      <c r="I66" s="504"/>
      <c r="J66" s="506"/>
      <c r="K66" s="504"/>
      <c r="L66" s="508"/>
      <c r="M66" s="504"/>
      <c r="N66" s="506"/>
      <c r="O66" s="504"/>
      <c r="P66" s="506"/>
      <c r="Q66" s="504"/>
      <c r="R66" s="506"/>
      <c r="S66" s="510"/>
    </row>
    <row r="67" spans="1:19" ht="15" customHeight="1">
      <c r="A67" s="483" t="s">
        <v>158</v>
      </c>
      <c r="B67" s="494">
        <f>SUM('Лист выплат'!B36)</f>
        <v>0</v>
      </c>
      <c r="C67" s="503"/>
      <c r="D67" s="505"/>
      <c r="E67" s="503"/>
      <c r="F67" s="505"/>
      <c r="G67" s="503"/>
      <c r="H67" s="505"/>
      <c r="I67" s="503"/>
      <c r="J67" s="505"/>
      <c r="K67" s="503"/>
      <c r="L67" s="507"/>
      <c r="M67" s="503"/>
      <c r="N67" s="505"/>
      <c r="O67" s="503"/>
      <c r="P67" s="505"/>
      <c r="Q67" s="503"/>
      <c r="R67" s="505"/>
      <c r="S67" s="509">
        <f>SUM(C67:R68)</f>
        <v>0</v>
      </c>
    </row>
    <row r="68" spans="1:19" ht="15.75" customHeight="1">
      <c r="A68" s="484"/>
      <c r="B68" s="495"/>
      <c r="C68" s="504"/>
      <c r="D68" s="506"/>
      <c r="E68" s="504"/>
      <c r="F68" s="506"/>
      <c r="G68" s="504"/>
      <c r="H68" s="506"/>
      <c r="I68" s="504"/>
      <c r="J68" s="506"/>
      <c r="K68" s="504"/>
      <c r="L68" s="508"/>
      <c r="M68" s="504"/>
      <c r="N68" s="506"/>
      <c r="O68" s="504"/>
      <c r="P68" s="506"/>
      <c r="Q68" s="504"/>
      <c r="R68" s="506"/>
      <c r="S68" s="510"/>
    </row>
    <row r="69" spans="1:19" ht="15" customHeight="1">
      <c r="A69" s="483" t="s">
        <v>158</v>
      </c>
      <c r="B69" s="494">
        <f>SUM('Лист выплат'!B37)</f>
        <v>0</v>
      </c>
      <c r="C69" s="503"/>
      <c r="D69" s="505"/>
      <c r="E69" s="503"/>
      <c r="F69" s="505"/>
      <c r="G69" s="503"/>
      <c r="H69" s="505"/>
      <c r="I69" s="503"/>
      <c r="J69" s="505"/>
      <c r="K69" s="503"/>
      <c r="L69" s="507"/>
      <c r="M69" s="503"/>
      <c r="N69" s="505"/>
      <c r="O69" s="503"/>
      <c r="P69" s="505"/>
      <c r="Q69" s="503"/>
      <c r="R69" s="505"/>
      <c r="S69" s="509">
        <f>SUM(C69:R70)</f>
        <v>0</v>
      </c>
    </row>
    <row r="70" spans="1:19" ht="14.25" customHeight="1">
      <c r="A70" s="484"/>
      <c r="B70" s="495"/>
      <c r="C70" s="504"/>
      <c r="D70" s="506"/>
      <c r="E70" s="504"/>
      <c r="F70" s="506"/>
      <c r="G70" s="504"/>
      <c r="H70" s="506"/>
      <c r="I70" s="504"/>
      <c r="J70" s="506"/>
      <c r="K70" s="504"/>
      <c r="L70" s="508"/>
      <c r="M70" s="504"/>
      <c r="N70" s="506"/>
      <c r="O70" s="504"/>
      <c r="P70" s="506"/>
      <c r="Q70" s="504"/>
      <c r="R70" s="506"/>
      <c r="S70" s="510"/>
    </row>
    <row r="71" spans="1:19" ht="18.75" customHeight="1">
      <c r="A71" s="479" t="s">
        <v>133</v>
      </c>
      <c r="B71" s="479"/>
      <c r="C71" s="479"/>
      <c r="D71" s="479"/>
      <c r="E71" s="479"/>
      <c r="F71" s="479"/>
      <c r="G71" s="479"/>
      <c r="H71" s="479"/>
      <c r="I71" s="479"/>
      <c r="J71" s="479"/>
      <c r="K71" s="479"/>
      <c r="L71" s="479"/>
      <c r="M71" s="479"/>
      <c r="N71" s="479"/>
      <c r="O71" s="479"/>
      <c r="P71" s="479"/>
      <c r="Q71" s="479"/>
      <c r="R71" s="479"/>
      <c r="S71" s="480"/>
    </row>
    <row r="72" spans="1:19" ht="15" customHeight="1">
      <c r="A72" s="483" t="s">
        <v>161</v>
      </c>
      <c r="B72" s="494">
        <f>SUM('Лист выплат'!B39)</f>
        <v>3</v>
      </c>
      <c r="C72" s="583">
        <v>500</v>
      </c>
      <c r="D72" s="581">
        <v>500</v>
      </c>
      <c r="E72" s="503"/>
      <c r="F72" s="505"/>
      <c r="G72" s="503"/>
      <c r="H72" s="505"/>
      <c r="I72" s="503"/>
      <c r="J72" s="505"/>
      <c r="K72" s="503"/>
      <c r="L72" s="507"/>
      <c r="M72" s="503"/>
      <c r="N72" s="505"/>
      <c r="O72" s="503"/>
      <c r="P72" s="505"/>
      <c r="Q72" s="503"/>
      <c r="R72" s="505"/>
      <c r="S72" s="509">
        <f>SUM(C72:R73)</f>
        <v>1000</v>
      </c>
    </row>
    <row r="73" spans="1:19" ht="15.75" customHeight="1">
      <c r="A73" s="484"/>
      <c r="B73" s="495"/>
      <c r="C73" s="584"/>
      <c r="D73" s="582"/>
      <c r="E73" s="504"/>
      <c r="F73" s="506"/>
      <c r="G73" s="504"/>
      <c r="H73" s="506"/>
      <c r="I73" s="504"/>
      <c r="J73" s="506"/>
      <c r="K73" s="504"/>
      <c r="L73" s="508"/>
      <c r="M73" s="504"/>
      <c r="N73" s="506"/>
      <c r="O73" s="504"/>
      <c r="P73" s="506"/>
      <c r="Q73" s="504"/>
      <c r="R73" s="506"/>
      <c r="S73" s="510"/>
    </row>
    <row r="74" spans="1:19" ht="12.75" customHeight="1">
      <c r="A74" s="483" t="s">
        <v>161</v>
      </c>
      <c r="B74" s="494">
        <f>SUM('Лист выплат'!B40)</f>
        <v>4</v>
      </c>
      <c r="C74" s="583">
        <v>500</v>
      </c>
      <c r="D74" s="581">
        <v>1000</v>
      </c>
      <c r="E74" s="503"/>
      <c r="F74" s="505"/>
      <c r="G74" s="503"/>
      <c r="H74" s="505"/>
      <c r="I74" s="503"/>
      <c r="J74" s="505"/>
      <c r="K74" s="503"/>
      <c r="L74" s="507"/>
      <c r="M74" s="503"/>
      <c r="N74" s="505"/>
      <c r="O74" s="503"/>
      <c r="P74" s="505"/>
      <c r="Q74" s="503"/>
      <c r="R74" s="505"/>
      <c r="S74" s="509">
        <f>SUM(C74:R75)</f>
        <v>1500</v>
      </c>
    </row>
    <row r="75" spans="1:19" ht="13.5" customHeight="1">
      <c r="A75" s="484"/>
      <c r="B75" s="495"/>
      <c r="C75" s="584"/>
      <c r="D75" s="582"/>
      <c r="E75" s="504"/>
      <c r="F75" s="506"/>
      <c r="G75" s="504"/>
      <c r="H75" s="506"/>
      <c r="I75" s="504"/>
      <c r="J75" s="506"/>
      <c r="K75" s="504"/>
      <c r="L75" s="508"/>
      <c r="M75" s="504"/>
      <c r="N75" s="506"/>
      <c r="O75" s="504"/>
      <c r="P75" s="506"/>
      <c r="Q75" s="504"/>
      <c r="R75" s="506"/>
      <c r="S75" s="510"/>
    </row>
    <row r="76" spans="1:19" ht="12.75" customHeight="1">
      <c r="A76" s="483" t="s">
        <v>161</v>
      </c>
      <c r="B76" s="494">
        <f>SUM('Лист выплат'!B41)</f>
        <v>0</v>
      </c>
      <c r="C76" s="503"/>
      <c r="D76" s="505"/>
      <c r="E76" s="503"/>
      <c r="F76" s="505"/>
      <c r="G76" s="503"/>
      <c r="H76" s="505"/>
      <c r="I76" s="503"/>
      <c r="J76" s="505"/>
      <c r="K76" s="503"/>
      <c r="L76" s="507"/>
      <c r="M76" s="503"/>
      <c r="N76" s="505"/>
      <c r="O76" s="503"/>
      <c r="P76" s="505"/>
      <c r="Q76" s="503"/>
      <c r="R76" s="505"/>
      <c r="S76" s="509">
        <f>SUM(C76:R77)</f>
        <v>0</v>
      </c>
    </row>
    <row r="77" spans="1:19" ht="13.5" customHeight="1">
      <c r="A77" s="484"/>
      <c r="B77" s="495"/>
      <c r="C77" s="504"/>
      <c r="D77" s="506"/>
      <c r="E77" s="504"/>
      <c r="F77" s="506"/>
      <c r="G77" s="504"/>
      <c r="H77" s="506"/>
      <c r="I77" s="504"/>
      <c r="J77" s="506"/>
      <c r="K77" s="504"/>
      <c r="L77" s="508"/>
      <c r="M77" s="504"/>
      <c r="N77" s="506"/>
      <c r="O77" s="504"/>
      <c r="P77" s="506"/>
      <c r="Q77" s="504"/>
      <c r="R77" s="506"/>
      <c r="S77" s="510"/>
    </row>
    <row r="78" spans="1:19" ht="12.75" customHeight="1">
      <c r="A78" s="483" t="s">
        <v>161</v>
      </c>
      <c r="B78" s="494">
        <f>SUM('Лист выплат'!B42)</f>
        <v>0</v>
      </c>
      <c r="C78" s="503"/>
      <c r="D78" s="505"/>
      <c r="E78" s="503"/>
      <c r="F78" s="505"/>
      <c r="G78" s="503"/>
      <c r="H78" s="505"/>
      <c r="I78" s="503"/>
      <c r="J78" s="505"/>
      <c r="K78" s="503"/>
      <c r="L78" s="507"/>
      <c r="M78" s="503"/>
      <c r="N78" s="505"/>
      <c r="O78" s="503"/>
      <c r="P78" s="505"/>
      <c r="Q78" s="503"/>
      <c r="R78" s="505"/>
      <c r="S78" s="509">
        <f>SUM(C78:R79)</f>
        <v>0</v>
      </c>
    </row>
    <row r="79" spans="1:19" ht="13.5" customHeight="1">
      <c r="A79" s="484"/>
      <c r="B79" s="495"/>
      <c r="C79" s="504"/>
      <c r="D79" s="506"/>
      <c r="E79" s="504"/>
      <c r="F79" s="506"/>
      <c r="G79" s="504"/>
      <c r="H79" s="506"/>
      <c r="I79" s="504"/>
      <c r="J79" s="506"/>
      <c r="K79" s="504"/>
      <c r="L79" s="508"/>
      <c r="M79" s="504"/>
      <c r="N79" s="506"/>
      <c r="O79" s="504"/>
      <c r="P79" s="506"/>
      <c r="Q79" s="504"/>
      <c r="R79" s="506"/>
      <c r="S79" s="510"/>
    </row>
    <row r="80" spans="1:19" ht="12.75" customHeight="1">
      <c r="A80" s="483" t="s">
        <v>161</v>
      </c>
      <c r="B80" s="494">
        <f>SUM('Лист выплат'!B43)</f>
        <v>0</v>
      </c>
      <c r="C80" s="503"/>
      <c r="D80" s="505"/>
      <c r="E80" s="503"/>
      <c r="F80" s="505"/>
      <c r="G80" s="503"/>
      <c r="H80" s="505"/>
      <c r="I80" s="503"/>
      <c r="J80" s="505"/>
      <c r="K80" s="503"/>
      <c r="L80" s="507"/>
      <c r="M80" s="503"/>
      <c r="N80" s="505"/>
      <c r="O80" s="503"/>
      <c r="P80" s="505"/>
      <c r="Q80" s="503"/>
      <c r="R80" s="505"/>
      <c r="S80" s="509">
        <f>SUM(C80:R81)</f>
        <v>0</v>
      </c>
    </row>
    <row r="81" spans="1:19" ht="13.5" customHeight="1">
      <c r="A81" s="484"/>
      <c r="B81" s="495"/>
      <c r="C81" s="504"/>
      <c r="D81" s="506"/>
      <c r="E81" s="504"/>
      <c r="F81" s="506"/>
      <c r="G81" s="504"/>
      <c r="H81" s="506"/>
      <c r="I81" s="504"/>
      <c r="J81" s="506"/>
      <c r="K81" s="504"/>
      <c r="L81" s="508"/>
      <c r="M81" s="504"/>
      <c r="N81" s="506"/>
      <c r="O81" s="504"/>
      <c r="P81" s="506"/>
      <c r="Q81" s="504"/>
      <c r="R81" s="506"/>
      <c r="S81" s="510"/>
    </row>
    <row r="82" spans="1:19" ht="17.25" customHeight="1">
      <c r="A82" s="479" t="s">
        <v>164</v>
      </c>
      <c r="B82" s="479"/>
      <c r="C82" s="479"/>
      <c r="D82" s="479"/>
      <c r="E82" s="479"/>
      <c r="F82" s="479"/>
      <c r="G82" s="479"/>
      <c r="H82" s="479"/>
      <c r="I82" s="479"/>
      <c r="J82" s="479"/>
      <c r="K82" s="479"/>
      <c r="L82" s="479"/>
      <c r="M82" s="479"/>
      <c r="N82" s="479"/>
      <c r="O82" s="479"/>
      <c r="P82" s="479"/>
      <c r="Q82" s="479"/>
      <c r="R82" s="479"/>
      <c r="S82" s="480"/>
    </row>
    <row r="83" spans="1:19" ht="15" customHeight="1">
      <c r="A83" s="485"/>
      <c r="B83" s="494">
        <f>SUM('Лист выплат'!B45)</f>
        <v>0</v>
      </c>
      <c r="C83" s="503"/>
      <c r="D83" s="505"/>
      <c r="E83" s="503"/>
      <c r="F83" s="505"/>
      <c r="G83" s="503"/>
      <c r="H83" s="505"/>
      <c r="I83" s="503"/>
      <c r="J83" s="505"/>
      <c r="K83" s="503"/>
      <c r="L83" s="507"/>
      <c r="M83" s="503"/>
      <c r="N83" s="505"/>
      <c r="O83" s="503"/>
      <c r="P83" s="505"/>
      <c r="Q83" s="503"/>
      <c r="R83" s="505"/>
      <c r="S83" s="509">
        <f>SUM(C83:R84)</f>
        <v>0</v>
      </c>
    </row>
    <row r="84" spans="1:19" ht="13.5" customHeight="1">
      <c r="A84" s="486"/>
      <c r="B84" s="495"/>
      <c r="C84" s="504"/>
      <c r="D84" s="506"/>
      <c r="E84" s="504"/>
      <c r="F84" s="506"/>
      <c r="G84" s="504"/>
      <c r="H84" s="506"/>
      <c r="I84" s="504"/>
      <c r="J84" s="506"/>
      <c r="K84" s="504"/>
      <c r="L84" s="508"/>
      <c r="M84" s="504"/>
      <c r="N84" s="506"/>
      <c r="O84" s="504"/>
      <c r="P84" s="506"/>
      <c r="Q84" s="504"/>
      <c r="R84" s="506"/>
      <c r="S84" s="510"/>
    </row>
    <row r="85" spans="1:19" ht="12.75" customHeight="1">
      <c r="A85" s="485"/>
      <c r="B85" s="494">
        <f>SUM('Лист выплат'!B46)</f>
        <v>0</v>
      </c>
      <c r="C85" s="503"/>
      <c r="D85" s="505"/>
      <c r="E85" s="503"/>
      <c r="F85" s="505"/>
      <c r="G85" s="503"/>
      <c r="H85" s="505"/>
      <c r="I85" s="503"/>
      <c r="J85" s="505"/>
      <c r="K85" s="503"/>
      <c r="L85" s="507"/>
      <c r="M85" s="503"/>
      <c r="N85" s="505"/>
      <c r="O85" s="503"/>
      <c r="P85" s="505"/>
      <c r="Q85" s="503"/>
      <c r="R85" s="505"/>
      <c r="S85" s="509">
        <f>SUM(C85:R86)</f>
        <v>0</v>
      </c>
    </row>
    <row r="86" spans="1:19" ht="13.5" customHeight="1">
      <c r="A86" s="486"/>
      <c r="B86" s="495"/>
      <c r="C86" s="504"/>
      <c r="D86" s="506"/>
      <c r="E86" s="504"/>
      <c r="F86" s="506"/>
      <c r="G86" s="504"/>
      <c r="H86" s="506"/>
      <c r="I86" s="504"/>
      <c r="J86" s="506"/>
      <c r="K86" s="504"/>
      <c r="L86" s="508"/>
      <c r="M86" s="504"/>
      <c r="N86" s="506"/>
      <c r="O86" s="504"/>
      <c r="P86" s="506"/>
      <c r="Q86" s="504"/>
      <c r="R86" s="506"/>
      <c r="S86" s="510"/>
    </row>
    <row r="87" spans="1:19" ht="12.75" customHeight="1">
      <c r="A87" s="487">
        <v>0</v>
      </c>
      <c r="B87" s="494">
        <f>SUM('Лист выплат'!B47)</f>
        <v>0</v>
      </c>
      <c r="C87" s="503"/>
      <c r="D87" s="505"/>
      <c r="E87" s="503"/>
      <c r="F87" s="505"/>
      <c r="G87" s="503"/>
      <c r="H87" s="505"/>
      <c r="I87" s="503"/>
      <c r="J87" s="505"/>
      <c r="K87" s="503"/>
      <c r="L87" s="507"/>
      <c r="M87" s="503"/>
      <c r="N87" s="505"/>
      <c r="O87" s="503"/>
      <c r="P87" s="505"/>
      <c r="Q87" s="503"/>
      <c r="R87" s="505"/>
      <c r="S87" s="509">
        <f>SUM(C87:R88)</f>
        <v>0</v>
      </c>
    </row>
    <row r="88" spans="1:19" ht="13.5" customHeight="1">
      <c r="A88" s="488"/>
      <c r="B88" s="495"/>
      <c r="C88" s="504"/>
      <c r="D88" s="506"/>
      <c r="E88" s="504"/>
      <c r="F88" s="506"/>
      <c r="G88" s="504"/>
      <c r="H88" s="506"/>
      <c r="I88" s="504"/>
      <c r="J88" s="506"/>
      <c r="K88" s="504"/>
      <c r="L88" s="508"/>
      <c r="M88" s="504"/>
      <c r="N88" s="506"/>
      <c r="O88" s="504"/>
      <c r="P88" s="506"/>
      <c r="Q88" s="504"/>
      <c r="R88" s="506"/>
      <c r="S88" s="510"/>
    </row>
    <row r="89" spans="1:19" ht="12.75" customHeight="1">
      <c r="A89" s="487">
        <v>0</v>
      </c>
      <c r="B89" s="494">
        <f>SUM('Лист выплат'!B48)</f>
        <v>0</v>
      </c>
      <c r="C89" s="503"/>
      <c r="D89" s="505"/>
      <c r="E89" s="503"/>
      <c r="F89" s="505"/>
      <c r="G89" s="503"/>
      <c r="H89" s="505"/>
      <c r="I89" s="503"/>
      <c r="J89" s="505"/>
      <c r="K89" s="503"/>
      <c r="L89" s="507"/>
      <c r="M89" s="503"/>
      <c r="N89" s="505"/>
      <c r="O89" s="503"/>
      <c r="P89" s="505"/>
      <c r="Q89" s="503"/>
      <c r="R89" s="505"/>
      <c r="S89" s="509">
        <f>SUM(C89:R90)</f>
        <v>0</v>
      </c>
    </row>
    <row r="90" spans="1:19" ht="12" customHeight="1">
      <c r="A90" s="488"/>
      <c r="B90" s="495"/>
      <c r="C90" s="504"/>
      <c r="D90" s="506"/>
      <c r="E90" s="504"/>
      <c r="F90" s="506"/>
      <c r="G90" s="504"/>
      <c r="H90" s="506"/>
      <c r="I90" s="504"/>
      <c r="J90" s="506"/>
      <c r="K90" s="504"/>
      <c r="L90" s="508"/>
      <c r="M90" s="504"/>
      <c r="N90" s="506"/>
      <c r="O90" s="504"/>
      <c r="P90" s="506"/>
      <c r="Q90" s="504"/>
      <c r="R90" s="506"/>
      <c r="S90" s="510"/>
    </row>
    <row r="91" spans="1:19" ht="12.75" customHeight="1">
      <c r="A91" s="487">
        <v>0</v>
      </c>
      <c r="B91" s="494">
        <f>SUM('Лист выплат'!B49)</f>
        <v>1</v>
      </c>
      <c r="C91" s="583">
        <v>2500</v>
      </c>
      <c r="D91" s="505"/>
      <c r="E91" s="503"/>
      <c r="F91" s="505"/>
      <c r="G91" s="503"/>
      <c r="H91" s="505"/>
      <c r="I91" s="503"/>
      <c r="J91" s="505"/>
      <c r="K91" s="503"/>
      <c r="L91" s="507"/>
      <c r="M91" s="503"/>
      <c r="N91" s="505"/>
      <c r="O91" s="503"/>
      <c r="P91" s="505"/>
      <c r="Q91" s="503"/>
      <c r="R91" s="505"/>
      <c r="S91" s="509">
        <f>SUM(C91:R92)</f>
        <v>2500</v>
      </c>
    </row>
    <row r="92" spans="1:19" ht="13.5" customHeight="1">
      <c r="A92" s="488"/>
      <c r="B92" s="495"/>
      <c r="C92" s="584"/>
      <c r="D92" s="506"/>
      <c r="E92" s="504"/>
      <c r="F92" s="506"/>
      <c r="G92" s="504"/>
      <c r="H92" s="506"/>
      <c r="I92" s="504"/>
      <c r="J92" s="506"/>
      <c r="K92" s="504"/>
      <c r="L92" s="508"/>
      <c r="M92" s="504"/>
      <c r="N92" s="506"/>
      <c r="O92" s="504"/>
      <c r="P92" s="506"/>
      <c r="Q92" s="504"/>
      <c r="R92" s="506"/>
      <c r="S92" s="510"/>
    </row>
    <row r="93" spans="1:19" ht="12.75" customHeight="1">
      <c r="A93" s="487">
        <v>0</v>
      </c>
      <c r="B93" s="494">
        <f>SUM('Лист выплат'!B50)</f>
        <v>17</v>
      </c>
      <c r="C93" s="583">
        <v>3500</v>
      </c>
      <c r="D93" s="505"/>
      <c r="E93" s="503"/>
      <c r="F93" s="505"/>
      <c r="G93" s="503"/>
      <c r="H93" s="505"/>
      <c r="I93" s="503"/>
      <c r="J93" s="505"/>
      <c r="K93" s="503"/>
      <c r="L93" s="507"/>
      <c r="M93" s="503"/>
      <c r="N93" s="505"/>
      <c r="O93" s="503"/>
      <c r="P93" s="505"/>
      <c r="Q93" s="503"/>
      <c r="R93" s="505"/>
      <c r="S93" s="509">
        <f>SUM(C93:R94)</f>
        <v>3500</v>
      </c>
    </row>
    <row r="94" spans="1:19" ht="13.5" customHeight="1">
      <c r="A94" s="488"/>
      <c r="B94" s="495"/>
      <c r="C94" s="584"/>
      <c r="D94" s="506"/>
      <c r="E94" s="504"/>
      <c r="F94" s="506"/>
      <c r="G94" s="504"/>
      <c r="H94" s="506"/>
      <c r="I94" s="504"/>
      <c r="J94" s="506"/>
      <c r="K94" s="504"/>
      <c r="L94" s="508"/>
      <c r="M94" s="504"/>
      <c r="N94" s="506"/>
      <c r="O94" s="504"/>
      <c r="P94" s="506"/>
      <c r="Q94" s="504"/>
      <c r="R94" s="506"/>
      <c r="S94" s="510"/>
    </row>
    <row r="95" spans="1:19" ht="12.75" customHeight="1">
      <c r="A95" s="487">
        <v>0</v>
      </c>
      <c r="B95" s="494">
        <f>SUM('Лист выплат'!B51)</f>
        <v>15</v>
      </c>
      <c r="C95" s="583">
        <v>1000</v>
      </c>
      <c r="D95" s="505"/>
      <c r="E95" s="503"/>
      <c r="F95" s="505"/>
      <c r="G95" s="503"/>
      <c r="H95" s="505"/>
      <c r="I95" s="503"/>
      <c r="J95" s="505"/>
      <c r="K95" s="503"/>
      <c r="L95" s="507"/>
      <c r="M95" s="503"/>
      <c r="N95" s="505"/>
      <c r="O95" s="503"/>
      <c r="P95" s="505"/>
      <c r="Q95" s="503"/>
      <c r="R95" s="505"/>
      <c r="S95" s="509">
        <f>SUM(C95:R96)</f>
        <v>1000</v>
      </c>
    </row>
    <row r="96" spans="1:19" ht="12.75" customHeight="1">
      <c r="A96" s="488"/>
      <c r="B96" s="495"/>
      <c r="C96" s="584"/>
      <c r="D96" s="506"/>
      <c r="E96" s="504"/>
      <c r="F96" s="506"/>
      <c r="G96" s="504"/>
      <c r="H96" s="506"/>
      <c r="I96" s="504"/>
      <c r="J96" s="506"/>
      <c r="K96" s="504"/>
      <c r="L96" s="508"/>
      <c r="M96" s="504"/>
      <c r="N96" s="506"/>
      <c r="O96" s="504"/>
      <c r="P96" s="506"/>
      <c r="Q96" s="504"/>
      <c r="R96" s="506"/>
      <c r="S96" s="510"/>
    </row>
    <row r="97" spans="1:19" ht="21" customHeight="1">
      <c r="A97" s="481" t="s">
        <v>7</v>
      </c>
      <c r="B97" s="481"/>
      <c r="C97" s="481"/>
      <c r="D97" s="481"/>
      <c r="E97" s="481"/>
      <c r="F97" s="481"/>
      <c r="G97" s="481"/>
      <c r="H97" s="481"/>
      <c r="I97" s="481"/>
      <c r="J97" s="481"/>
      <c r="K97" s="481"/>
      <c r="L97" s="481"/>
      <c r="M97" s="481"/>
      <c r="N97" s="481"/>
      <c r="O97" s="481"/>
      <c r="P97" s="481"/>
      <c r="Q97" s="481"/>
      <c r="R97" s="481"/>
      <c r="S97" s="482"/>
    </row>
    <row r="98" spans="1:19" ht="14.25" customHeight="1">
      <c r="A98" s="483" t="s">
        <v>169</v>
      </c>
      <c r="B98" s="498">
        <f>SUM('Лист выплат'!B52)</f>
        <v>4</v>
      </c>
      <c r="C98" s="583">
        <v>1000</v>
      </c>
      <c r="D98" s="505"/>
      <c r="E98" s="503"/>
      <c r="F98" s="505"/>
      <c r="G98" s="503"/>
      <c r="H98" s="505"/>
      <c r="I98" s="503"/>
      <c r="J98" s="505"/>
      <c r="K98" s="503"/>
      <c r="L98" s="507"/>
      <c r="M98" s="503"/>
      <c r="N98" s="505"/>
      <c r="O98" s="503"/>
      <c r="P98" s="505"/>
      <c r="Q98" s="503"/>
      <c r="R98" s="505"/>
      <c r="S98" s="509">
        <f>SUM(C98:R99)</f>
        <v>1000</v>
      </c>
    </row>
    <row r="99" spans="1:19" ht="15" customHeight="1">
      <c r="A99" s="484"/>
      <c r="B99" s="499"/>
      <c r="C99" s="584"/>
      <c r="D99" s="506"/>
      <c r="E99" s="504"/>
      <c r="F99" s="506"/>
      <c r="G99" s="504"/>
      <c r="H99" s="506"/>
      <c r="I99" s="504"/>
      <c r="J99" s="506"/>
      <c r="K99" s="504"/>
      <c r="L99" s="508"/>
      <c r="M99" s="504"/>
      <c r="N99" s="506"/>
      <c r="O99" s="504"/>
      <c r="P99" s="506"/>
      <c r="Q99" s="504"/>
      <c r="R99" s="506"/>
      <c r="S99" s="510"/>
    </row>
    <row r="100" spans="1:19" ht="12.75" customHeight="1">
      <c r="A100" s="489" t="s">
        <v>169</v>
      </c>
      <c r="B100" s="498">
        <f>SUM('Лист выплат'!B53)</f>
        <v>52</v>
      </c>
      <c r="C100" s="583">
        <v>500</v>
      </c>
      <c r="D100" s="583">
        <v>500</v>
      </c>
      <c r="E100" s="583">
        <v>500</v>
      </c>
      <c r="F100" s="583">
        <v>500</v>
      </c>
      <c r="G100" s="583">
        <v>500</v>
      </c>
      <c r="H100" s="583">
        <v>500</v>
      </c>
      <c r="I100" s="503"/>
      <c r="J100" s="507"/>
      <c r="K100" s="503"/>
      <c r="L100" s="507"/>
      <c r="M100" s="503"/>
      <c r="N100" s="507"/>
      <c r="O100" s="503"/>
      <c r="P100" s="507"/>
      <c r="Q100" s="503"/>
      <c r="R100" s="505"/>
      <c r="S100" s="509">
        <f>SUM(C100:R101)</f>
        <v>3000</v>
      </c>
    </row>
    <row r="101" spans="1:19" ht="15" customHeight="1">
      <c r="A101" s="489"/>
      <c r="B101" s="499"/>
      <c r="C101" s="584"/>
      <c r="D101" s="584"/>
      <c r="E101" s="584"/>
      <c r="F101" s="584"/>
      <c r="G101" s="584"/>
      <c r="H101" s="584"/>
      <c r="I101" s="504"/>
      <c r="J101" s="508"/>
      <c r="K101" s="504"/>
      <c r="L101" s="508"/>
      <c r="M101" s="504"/>
      <c r="N101" s="508"/>
      <c r="O101" s="504"/>
      <c r="P101" s="508"/>
      <c r="Q101" s="504"/>
      <c r="R101" s="506"/>
      <c r="S101" s="510"/>
    </row>
    <row r="102" spans="1:19" ht="12.75" customHeight="1">
      <c r="A102" s="489" t="s">
        <v>169</v>
      </c>
      <c r="B102" s="498">
        <f>SUM('Лист выплат'!B54)</f>
        <v>0</v>
      </c>
      <c r="C102" s="503"/>
      <c r="D102" s="507"/>
      <c r="E102" s="503"/>
      <c r="F102" s="507"/>
      <c r="G102" s="503"/>
      <c r="H102" s="507"/>
      <c r="I102" s="503"/>
      <c r="J102" s="507"/>
      <c r="K102" s="503"/>
      <c r="L102" s="507"/>
      <c r="M102" s="503"/>
      <c r="N102" s="507"/>
      <c r="O102" s="503"/>
      <c r="P102" s="507"/>
      <c r="Q102" s="503"/>
      <c r="R102" s="505"/>
      <c r="S102" s="525">
        <f>SUM(C102:R103)</f>
        <v>0</v>
      </c>
    </row>
    <row r="103" spans="1:19" ht="15" customHeight="1">
      <c r="A103" s="489"/>
      <c r="B103" s="499"/>
      <c r="C103" s="504"/>
      <c r="D103" s="508"/>
      <c r="E103" s="504"/>
      <c r="F103" s="508"/>
      <c r="G103" s="504"/>
      <c r="H103" s="508"/>
      <c r="I103" s="504"/>
      <c r="J103" s="508"/>
      <c r="K103" s="504"/>
      <c r="L103" s="508"/>
      <c r="M103" s="504"/>
      <c r="N103" s="508"/>
      <c r="O103" s="504"/>
      <c r="P103" s="508"/>
      <c r="Q103" s="504"/>
      <c r="R103" s="506"/>
      <c r="S103" s="526"/>
    </row>
    <row r="104" spans="1:19" ht="12.75" customHeight="1">
      <c r="A104" s="489" t="s">
        <v>169</v>
      </c>
      <c r="B104" s="498">
        <f>SUM('Лист выплат'!B55)</f>
        <v>0</v>
      </c>
      <c r="C104" s="503"/>
      <c r="D104" s="507"/>
      <c r="E104" s="503"/>
      <c r="F104" s="507"/>
      <c r="G104" s="503"/>
      <c r="H104" s="507"/>
      <c r="I104" s="503"/>
      <c r="J104" s="507"/>
      <c r="K104" s="503"/>
      <c r="L104" s="507"/>
      <c r="M104" s="503"/>
      <c r="N104" s="507"/>
      <c r="O104" s="503"/>
      <c r="P104" s="507"/>
      <c r="Q104" s="503"/>
      <c r="R104" s="505"/>
      <c r="S104" s="525">
        <f>SUM(C104:R105)</f>
        <v>0</v>
      </c>
    </row>
    <row r="105" spans="1:19" ht="15" customHeight="1">
      <c r="A105" s="489"/>
      <c r="B105" s="499"/>
      <c r="C105" s="504"/>
      <c r="D105" s="508"/>
      <c r="E105" s="504"/>
      <c r="F105" s="508"/>
      <c r="G105" s="504"/>
      <c r="H105" s="508"/>
      <c r="I105" s="504"/>
      <c r="J105" s="508"/>
      <c r="K105" s="504"/>
      <c r="L105" s="508"/>
      <c r="M105" s="504"/>
      <c r="N105" s="508"/>
      <c r="O105" s="504"/>
      <c r="P105" s="508"/>
      <c r="Q105" s="504"/>
      <c r="R105" s="506"/>
      <c r="S105" s="526"/>
    </row>
    <row r="106" spans="1:19" ht="12.75" customHeight="1">
      <c r="A106" s="489" t="s">
        <v>172</v>
      </c>
      <c r="B106" s="498">
        <f>SUM('Лист выплат'!B56)</f>
        <v>21</v>
      </c>
      <c r="C106" s="583">
        <v>500</v>
      </c>
      <c r="D106" s="583">
        <v>500</v>
      </c>
      <c r="E106" s="583">
        <v>500</v>
      </c>
      <c r="F106" s="507">
        <v>500</v>
      </c>
      <c r="G106" s="507"/>
      <c r="H106" s="507"/>
      <c r="I106" s="507"/>
      <c r="J106" s="507"/>
      <c r="K106" s="503"/>
      <c r="L106" s="507"/>
      <c r="M106" s="503"/>
      <c r="N106" s="507"/>
      <c r="O106" s="503"/>
      <c r="P106" s="507"/>
      <c r="Q106" s="503"/>
      <c r="R106" s="505"/>
      <c r="S106" s="525">
        <f>SUM(C106:R107)</f>
        <v>2000</v>
      </c>
    </row>
    <row r="107" spans="1:19" ht="15.75" customHeight="1">
      <c r="A107" s="489"/>
      <c r="B107" s="499"/>
      <c r="C107" s="584"/>
      <c r="D107" s="584"/>
      <c r="E107" s="584"/>
      <c r="F107" s="508"/>
      <c r="G107" s="508"/>
      <c r="H107" s="508"/>
      <c r="I107" s="508"/>
      <c r="J107" s="508"/>
      <c r="K107" s="504"/>
      <c r="L107" s="508"/>
      <c r="M107" s="504"/>
      <c r="N107" s="508"/>
      <c r="O107" s="504"/>
      <c r="P107" s="508"/>
      <c r="Q107" s="504"/>
      <c r="R107" s="506"/>
      <c r="S107" s="526"/>
    </row>
    <row r="108" spans="1:19" ht="12.75" customHeight="1">
      <c r="A108" s="483" t="s">
        <v>172</v>
      </c>
      <c r="B108" s="498">
        <f>SUM('Лист выплат'!B57)</f>
        <v>0</v>
      </c>
      <c r="C108" s="503"/>
      <c r="D108" s="507"/>
      <c r="E108" s="503"/>
      <c r="F108" s="507"/>
      <c r="G108" s="503"/>
      <c r="H108" s="507"/>
      <c r="I108" s="503"/>
      <c r="J108" s="507"/>
      <c r="K108" s="503"/>
      <c r="L108" s="507"/>
      <c r="M108" s="503"/>
      <c r="N108" s="507"/>
      <c r="O108" s="503"/>
      <c r="P108" s="507"/>
      <c r="Q108" s="503"/>
      <c r="R108" s="505"/>
      <c r="S108" s="509">
        <f>SUM(C108:R109)</f>
        <v>0</v>
      </c>
    </row>
    <row r="109" spans="1:19" ht="13.5" customHeight="1">
      <c r="A109" s="484"/>
      <c r="B109" s="499"/>
      <c r="C109" s="504"/>
      <c r="D109" s="508"/>
      <c r="E109" s="504"/>
      <c r="F109" s="508"/>
      <c r="G109" s="504"/>
      <c r="H109" s="508"/>
      <c r="I109" s="504"/>
      <c r="J109" s="508"/>
      <c r="K109" s="504"/>
      <c r="L109" s="508"/>
      <c r="M109" s="504"/>
      <c r="N109" s="508"/>
      <c r="O109" s="504"/>
      <c r="P109" s="508"/>
      <c r="Q109" s="504"/>
      <c r="R109" s="506"/>
      <c r="S109" s="510"/>
    </row>
    <row r="110" spans="1:19" ht="12.75" customHeight="1">
      <c r="A110" s="483" t="s">
        <v>174</v>
      </c>
      <c r="B110" s="498">
        <f>SUM('Лист выплат'!B58)</f>
        <v>14</v>
      </c>
      <c r="C110" s="583">
        <v>500</v>
      </c>
      <c r="D110" s="583">
        <v>500</v>
      </c>
      <c r="E110" s="583">
        <v>500</v>
      </c>
      <c r="F110" s="583">
        <v>500</v>
      </c>
      <c r="G110" s="503">
        <v>1000</v>
      </c>
      <c r="H110" s="507">
        <v>200</v>
      </c>
      <c r="I110" s="583">
        <v>500</v>
      </c>
      <c r="J110" s="583">
        <v>500</v>
      </c>
      <c r="K110" s="503"/>
      <c r="L110" s="507"/>
      <c r="M110" s="503"/>
      <c r="N110" s="507"/>
      <c r="O110" s="503"/>
      <c r="P110" s="507"/>
      <c r="Q110" s="503"/>
      <c r="R110" s="505"/>
      <c r="S110" s="509">
        <f>SUM(C110:R111)</f>
        <v>4200</v>
      </c>
    </row>
    <row r="111" spans="1:19" ht="13.5" customHeight="1">
      <c r="A111" s="484"/>
      <c r="B111" s="499"/>
      <c r="C111" s="584"/>
      <c r="D111" s="584"/>
      <c r="E111" s="584"/>
      <c r="F111" s="584"/>
      <c r="G111" s="504"/>
      <c r="H111" s="508"/>
      <c r="I111" s="584"/>
      <c r="J111" s="584"/>
      <c r="K111" s="504"/>
      <c r="L111" s="508"/>
      <c r="M111" s="504"/>
      <c r="N111" s="508"/>
      <c r="O111" s="504"/>
      <c r="P111" s="508"/>
      <c r="Q111" s="504"/>
      <c r="R111" s="506"/>
      <c r="S111" s="510"/>
    </row>
    <row r="112" spans="1:19" ht="12.75" customHeight="1">
      <c r="A112" s="483" t="s">
        <v>176</v>
      </c>
      <c r="B112" s="498">
        <f>SUM('Лист выплат'!B59)</f>
        <v>69</v>
      </c>
      <c r="C112" s="583">
        <v>500</v>
      </c>
      <c r="D112" s="583">
        <v>500</v>
      </c>
      <c r="E112" s="583">
        <v>1000</v>
      </c>
      <c r="F112" s="583">
        <v>500</v>
      </c>
      <c r="G112" s="583">
        <v>500</v>
      </c>
      <c r="H112" s="583">
        <v>500</v>
      </c>
      <c r="I112" s="583">
        <v>500</v>
      </c>
      <c r="J112" s="583">
        <v>500</v>
      </c>
      <c r="K112" s="583">
        <v>500</v>
      </c>
      <c r="L112" s="507">
        <v>500</v>
      </c>
      <c r="M112" s="583">
        <v>350</v>
      </c>
      <c r="N112" s="583">
        <v>500</v>
      </c>
      <c r="O112" s="507"/>
      <c r="P112" s="507"/>
      <c r="Q112" s="503"/>
      <c r="R112" s="505"/>
      <c r="S112" s="509">
        <f>SUM(C112:R113)</f>
        <v>6350</v>
      </c>
    </row>
    <row r="113" spans="1:19" ht="13.5" customHeight="1">
      <c r="A113" s="484"/>
      <c r="B113" s="499"/>
      <c r="C113" s="584"/>
      <c r="D113" s="584"/>
      <c r="E113" s="584"/>
      <c r="F113" s="584"/>
      <c r="G113" s="584"/>
      <c r="H113" s="584"/>
      <c r="I113" s="584"/>
      <c r="J113" s="584"/>
      <c r="K113" s="584"/>
      <c r="L113" s="508"/>
      <c r="M113" s="584"/>
      <c r="N113" s="584"/>
      <c r="O113" s="508"/>
      <c r="P113" s="508"/>
      <c r="Q113" s="504"/>
      <c r="R113" s="506"/>
      <c r="S113" s="510"/>
    </row>
    <row r="114" spans="1:19" ht="13.5" customHeight="1">
      <c r="A114" s="483" t="s">
        <v>178</v>
      </c>
      <c r="B114" s="498">
        <f>SUM('Лист выплат'!B60)</f>
        <v>17</v>
      </c>
      <c r="C114" s="583">
        <v>500</v>
      </c>
      <c r="D114" s="583">
        <v>500</v>
      </c>
      <c r="E114" s="583">
        <v>1000</v>
      </c>
      <c r="F114" s="581">
        <v>1500</v>
      </c>
      <c r="G114" s="583">
        <v>7000</v>
      </c>
      <c r="H114" s="581">
        <v>1000</v>
      </c>
      <c r="I114" s="583">
        <v>3000</v>
      </c>
      <c r="J114" s="581">
        <v>2000</v>
      </c>
      <c r="K114" s="583">
        <v>900</v>
      </c>
      <c r="L114" s="597">
        <v>1000</v>
      </c>
      <c r="M114" s="583">
        <v>1500</v>
      </c>
      <c r="N114" s="581">
        <v>1500</v>
      </c>
      <c r="O114" s="505">
        <v>1700</v>
      </c>
      <c r="P114" s="505"/>
      <c r="Q114" s="503"/>
      <c r="R114" s="505"/>
      <c r="S114" s="527">
        <f>SUM(C114:R115)</f>
        <v>23100</v>
      </c>
    </row>
    <row r="115" spans="1:19" ht="15" customHeight="1">
      <c r="A115" s="484"/>
      <c r="B115" s="499"/>
      <c r="C115" s="584"/>
      <c r="D115" s="584"/>
      <c r="E115" s="584"/>
      <c r="F115" s="582"/>
      <c r="G115" s="584"/>
      <c r="H115" s="582"/>
      <c r="I115" s="584"/>
      <c r="J115" s="582"/>
      <c r="K115" s="584"/>
      <c r="L115" s="598"/>
      <c r="M115" s="584"/>
      <c r="N115" s="582"/>
      <c r="O115" s="506"/>
      <c r="P115" s="506"/>
      <c r="Q115" s="504"/>
      <c r="R115" s="506"/>
      <c r="S115" s="510"/>
    </row>
    <row r="116" spans="1:19" ht="17.25" customHeight="1">
      <c r="A116" s="483" t="s">
        <v>178</v>
      </c>
      <c r="B116" s="498">
        <f>SUM('Лист выплат'!B61)</f>
        <v>0</v>
      </c>
      <c r="C116" s="503"/>
      <c r="D116" s="505"/>
      <c r="E116" s="503"/>
      <c r="F116" s="505"/>
      <c r="G116" s="503"/>
      <c r="H116" s="505"/>
      <c r="I116" s="503"/>
      <c r="J116" s="505"/>
      <c r="K116" s="503"/>
      <c r="L116" s="507"/>
      <c r="M116" s="503"/>
      <c r="N116" s="505"/>
      <c r="O116" s="503"/>
      <c r="P116" s="505"/>
      <c r="Q116" s="503"/>
      <c r="R116" s="505"/>
      <c r="S116" s="509">
        <f>SUM(C116:R117)</f>
        <v>0</v>
      </c>
    </row>
    <row r="117" spans="1:19" ht="12" customHeight="1">
      <c r="A117" s="484"/>
      <c r="B117" s="499"/>
      <c r="C117" s="504"/>
      <c r="D117" s="506"/>
      <c r="E117" s="504"/>
      <c r="F117" s="506"/>
      <c r="G117" s="504"/>
      <c r="H117" s="506"/>
      <c r="I117" s="504"/>
      <c r="J117" s="506"/>
      <c r="K117" s="504"/>
      <c r="L117" s="508"/>
      <c r="M117" s="504"/>
      <c r="N117" s="506"/>
      <c r="O117" s="504"/>
      <c r="P117" s="506"/>
      <c r="Q117" s="504"/>
      <c r="R117" s="506"/>
      <c r="S117" s="510"/>
    </row>
    <row r="118" spans="1:19" ht="12.75" customHeight="1">
      <c r="A118" s="483" t="s">
        <v>180</v>
      </c>
      <c r="B118" s="500">
        <f>SUM('Лист выплат'!B62)</f>
        <v>0</v>
      </c>
      <c r="C118" s="503"/>
      <c r="D118" s="505"/>
      <c r="E118" s="503"/>
      <c r="F118" s="505"/>
      <c r="G118" s="503"/>
      <c r="H118" s="505"/>
      <c r="I118" s="503"/>
      <c r="J118" s="505"/>
      <c r="K118" s="503"/>
      <c r="L118" s="507"/>
      <c r="M118" s="503"/>
      <c r="N118" s="505"/>
      <c r="O118" s="503"/>
      <c r="P118" s="505"/>
      <c r="Q118" s="503"/>
      <c r="R118" s="505"/>
      <c r="S118" s="527">
        <f>SUM(C118:R119)</f>
        <v>0</v>
      </c>
    </row>
    <row r="119" spans="1:19" ht="17.100000000000001" customHeight="1">
      <c r="A119" s="484"/>
      <c r="B119" s="499"/>
      <c r="C119" s="504"/>
      <c r="D119" s="506"/>
      <c r="E119" s="504"/>
      <c r="F119" s="506"/>
      <c r="G119" s="504"/>
      <c r="H119" s="506"/>
      <c r="I119" s="504"/>
      <c r="J119" s="506"/>
      <c r="K119" s="504"/>
      <c r="L119" s="508"/>
      <c r="M119" s="504"/>
      <c r="N119" s="506"/>
      <c r="O119" s="504"/>
      <c r="P119" s="506"/>
      <c r="Q119" s="504"/>
      <c r="R119" s="506"/>
      <c r="S119" s="510"/>
    </row>
    <row r="120" spans="1:19" ht="12.75" customHeight="1">
      <c r="A120" s="483" t="s">
        <v>180</v>
      </c>
      <c r="B120" s="500">
        <f>SUM('Лист выплат'!B63)</f>
        <v>0</v>
      </c>
      <c r="C120" s="503"/>
      <c r="D120" s="505"/>
      <c r="E120" s="503"/>
      <c r="F120" s="505"/>
      <c r="G120" s="503"/>
      <c r="H120" s="505"/>
      <c r="I120" s="503"/>
      <c r="J120" s="505"/>
      <c r="K120" s="503"/>
      <c r="L120" s="507"/>
      <c r="M120" s="503"/>
      <c r="N120" s="505"/>
      <c r="O120" s="503"/>
      <c r="P120" s="505"/>
      <c r="Q120" s="503"/>
      <c r="R120" s="505"/>
      <c r="S120" s="527">
        <f>SUM(C120:R121)</f>
        <v>0</v>
      </c>
    </row>
    <row r="121" spans="1:19" ht="13.5" customHeight="1">
      <c r="A121" s="484"/>
      <c r="B121" s="499"/>
      <c r="C121" s="504"/>
      <c r="D121" s="506"/>
      <c r="E121" s="504"/>
      <c r="F121" s="506"/>
      <c r="G121" s="504"/>
      <c r="H121" s="506"/>
      <c r="I121" s="504"/>
      <c r="J121" s="506"/>
      <c r="K121" s="504"/>
      <c r="L121" s="508"/>
      <c r="M121" s="504"/>
      <c r="N121" s="506"/>
      <c r="O121" s="504"/>
      <c r="P121" s="506"/>
      <c r="Q121" s="504"/>
      <c r="R121" s="506"/>
      <c r="S121" s="510"/>
    </row>
    <row r="122" spans="1:19" ht="12.75" customHeight="1">
      <c r="A122" s="483" t="s">
        <v>181</v>
      </c>
      <c r="B122" s="500">
        <f>SUM('Лист выплат'!B64)</f>
        <v>0</v>
      </c>
      <c r="C122" s="583">
        <v>500</v>
      </c>
      <c r="D122" s="581">
        <v>500</v>
      </c>
      <c r="E122" s="583">
        <v>500</v>
      </c>
      <c r="F122" s="505">
        <v>100</v>
      </c>
      <c r="G122" s="503"/>
      <c r="H122" s="505"/>
      <c r="I122" s="503"/>
      <c r="J122" s="505"/>
      <c r="K122" s="503"/>
      <c r="L122" s="507"/>
      <c r="M122" s="503"/>
      <c r="N122" s="505"/>
      <c r="O122" s="503"/>
      <c r="P122" s="505"/>
      <c r="Q122" s="503"/>
      <c r="R122" s="505"/>
      <c r="S122" s="527">
        <f>SUM(C122:R123)</f>
        <v>1600</v>
      </c>
    </row>
    <row r="123" spans="1:19" ht="17.100000000000001" customHeight="1">
      <c r="A123" s="484"/>
      <c r="B123" s="499"/>
      <c r="C123" s="584"/>
      <c r="D123" s="582"/>
      <c r="E123" s="584"/>
      <c r="F123" s="506"/>
      <c r="G123" s="504"/>
      <c r="H123" s="506"/>
      <c r="I123" s="504"/>
      <c r="J123" s="506"/>
      <c r="K123" s="504"/>
      <c r="L123" s="508"/>
      <c r="M123" s="504"/>
      <c r="N123" s="506"/>
      <c r="O123" s="504"/>
      <c r="P123" s="506"/>
      <c r="Q123" s="504"/>
      <c r="R123" s="506"/>
      <c r="S123" s="510"/>
    </row>
    <row r="124" spans="1:19" ht="12.75" customHeight="1">
      <c r="A124" s="483" t="s">
        <v>181</v>
      </c>
      <c r="B124" s="500">
        <f>SUM('Лист выплат'!B65)</f>
        <v>0</v>
      </c>
      <c r="C124" s="583">
        <v>500</v>
      </c>
      <c r="D124" s="581">
        <v>500</v>
      </c>
      <c r="E124" s="583">
        <v>500</v>
      </c>
      <c r="F124" s="505">
        <v>100</v>
      </c>
      <c r="G124" s="503"/>
      <c r="H124" s="505"/>
      <c r="I124" s="503"/>
      <c r="J124" s="505"/>
      <c r="K124" s="503"/>
      <c r="L124" s="507"/>
      <c r="M124" s="503"/>
      <c r="N124" s="505"/>
      <c r="O124" s="503"/>
      <c r="P124" s="505"/>
      <c r="Q124" s="503"/>
      <c r="R124" s="505"/>
      <c r="S124" s="527">
        <f>SUM(C124:R125)</f>
        <v>1600</v>
      </c>
    </row>
    <row r="125" spans="1:19" ht="15" customHeight="1">
      <c r="A125" s="484"/>
      <c r="B125" s="499"/>
      <c r="C125" s="584"/>
      <c r="D125" s="582"/>
      <c r="E125" s="584"/>
      <c r="F125" s="506"/>
      <c r="G125" s="504"/>
      <c r="H125" s="506"/>
      <c r="I125" s="504"/>
      <c r="J125" s="506"/>
      <c r="K125" s="504"/>
      <c r="L125" s="508"/>
      <c r="M125" s="504"/>
      <c r="N125" s="506"/>
      <c r="O125" s="504"/>
      <c r="P125" s="506"/>
      <c r="Q125" s="504"/>
      <c r="R125" s="506"/>
      <c r="S125" s="510"/>
    </row>
    <row r="126" spans="1:19" ht="12.75" customHeight="1">
      <c r="A126" s="483" t="s">
        <v>181</v>
      </c>
      <c r="B126" s="500">
        <f>SUM('Лист выплат'!B66)</f>
        <v>0</v>
      </c>
      <c r="C126" s="583">
        <v>500</v>
      </c>
      <c r="D126" s="581">
        <v>500</v>
      </c>
      <c r="E126" s="583">
        <v>500</v>
      </c>
      <c r="F126" s="505">
        <v>150</v>
      </c>
      <c r="G126" s="503"/>
      <c r="H126" s="505"/>
      <c r="I126" s="503"/>
      <c r="J126" s="505"/>
      <c r="K126" s="503"/>
      <c r="L126" s="507"/>
      <c r="M126" s="503"/>
      <c r="N126" s="505"/>
      <c r="O126" s="503"/>
      <c r="P126" s="505"/>
      <c r="Q126" s="503"/>
      <c r="R126" s="505"/>
      <c r="S126" s="527">
        <f>SUM(C126:R127)</f>
        <v>1650</v>
      </c>
    </row>
    <row r="127" spans="1:19" ht="15" customHeight="1">
      <c r="A127" s="484"/>
      <c r="B127" s="499"/>
      <c r="C127" s="584"/>
      <c r="D127" s="582"/>
      <c r="E127" s="584"/>
      <c r="F127" s="506"/>
      <c r="G127" s="504"/>
      <c r="H127" s="506"/>
      <c r="I127" s="504"/>
      <c r="J127" s="506"/>
      <c r="K127" s="504"/>
      <c r="L127" s="508"/>
      <c r="M127" s="504"/>
      <c r="N127" s="506"/>
      <c r="O127" s="504"/>
      <c r="P127" s="506"/>
      <c r="Q127" s="504"/>
      <c r="R127" s="506"/>
      <c r="S127" s="510"/>
    </row>
    <row r="128" spans="1:19" ht="12">
      <c r="A128" s="483"/>
      <c r="B128" s="498"/>
      <c r="C128" s="503"/>
      <c r="D128" s="505"/>
      <c r="E128" s="503"/>
      <c r="F128" s="505"/>
      <c r="G128" s="503"/>
      <c r="H128" s="505"/>
      <c r="I128" s="503"/>
      <c r="J128" s="505"/>
      <c r="K128" s="503"/>
      <c r="L128" s="507"/>
      <c r="M128" s="503"/>
      <c r="N128" s="505"/>
      <c r="O128" s="503"/>
      <c r="P128" s="505"/>
      <c r="Q128" s="503"/>
      <c r="R128" s="505"/>
      <c r="S128" s="509">
        <f>SUM(C128:R129)</f>
        <v>0</v>
      </c>
    </row>
    <row r="129" spans="1:19" ht="12" customHeight="1">
      <c r="A129" s="484"/>
      <c r="B129" s="499"/>
      <c r="C129" s="504"/>
      <c r="D129" s="506"/>
      <c r="E129" s="504"/>
      <c r="F129" s="506"/>
      <c r="G129" s="504"/>
      <c r="H129" s="506"/>
      <c r="I129" s="504"/>
      <c r="J129" s="506"/>
      <c r="K129" s="504"/>
      <c r="L129" s="508"/>
      <c r="M129" s="504"/>
      <c r="N129" s="506"/>
      <c r="O129" s="504"/>
      <c r="P129" s="506"/>
      <c r="Q129" s="504"/>
      <c r="R129" s="506"/>
      <c r="S129" s="510"/>
    </row>
    <row r="130" spans="1:19">
      <c r="A130" s="490"/>
      <c r="B130" s="498"/>
      <c r="C130" s="503"/>
      <c r="D130" s="505"/>
      <c r="E130" s="503"/>
      <c r="F130" s="505"/>
      <c r="G130" s="503"/>
      <c r="H130" s="505"/>
      <c r="I130" s="503"/>
      <c r="J130" s="505"/>
      <c r="K130" s="503"/>
      <c r="L130" s="507"/>
      <c r="M130" s="503"/>
      <c r="N130" s="505"/>
      <c r="O130" s="503"/>
      <c r="P130" s="505"/>
      <c r="Q130" s="503"/>
      <c r="R130" s="505"/>
      <c r="S130" s="509">
        <f>SUM(C130:R131)</f>
        <v>0</v>
      </c>
    </row>
    <row r="131" spans="1:19">
      <c r="A131" s="491"/>
      <c r="B131" s="499"/>
      <c r="C131" s="504"/>
      <c r="D131" s="506"/>
      <c r="E131" s="504"/>
      <c r="F131" s="506"/>
      <c r="G131" s="504"/>
      <c r="H131" s="506"/>
      <c r="I131" s="504"/>
      <c r="J131" s="506"/>
      <c r="K131" s="504"/>
      <c r="L131" s="508"/>
      <c r="M131" s="504"/>
      <c r="N131" s="506"/>
      <c r="O131" s="504"/>
      <c r="P131" s="506"/>
      <c r="Q131" s="504"/>
      <c r="R131" s="506"/>
      <c r="S131" s="510"/>
    </row>
    <row r="132" spans="1:19">
      <c r="A132" s="490"/>
      <c r="B132" s="498"/>
      <c r="C132" s="503"/>
      <c r="D132" s="505"/>
      <c r="E132" s="503"/>
      <c r="F132" s="505"/>
      <c r="G132" s="503"/>
      <c r="H132" s="505"/>
      <c r="I132" s="503"/>
      <c r="J132" s="505"/>
      <c r="K132" s="503"/>
      <c r="L132" s="507"/>
      <c r="M132" s="503"/>
      <c r="N132" s="505"/>
      <c r="O132" s="503"/>
      <c r="P132" s="505"/>
      <c r="Q132" s="503"/>
      <c r="R132" s="505"/>
      <c r="S132" s="509">
        <f>SUM(C132:R133)</f>
        <v>0</v>
      </c>
    </row>
    <row r="133" spans="1:19">
      <c r="A133" s="491"/>
      <c r="B133" s="499"/>
      <c r="C133" s="504"/>
      <c r="D133" s="506"/>
      <c r="E133" s="504"/>
      <c r="F133" s="506"/>
      <c r="G133" s="504"/>
      <c r="H133" s="506"/>
      <c r="I133" s="504"/>
      <c r="J133" s="506"/>
      <c r="K133" s="504"/>
      <c r="L133" s="508"/>
      <c r="M133" s="504"/>
      <c r="N133" s="506"/>
      <c r="O133" s="504"/>
      <c r="P133" s="506"/>
      <c r="Q133" s="504"/>
      <c r="R133" s="506"/>
      <c r="S133" s="510"/>
    </row>
    <row r="134" spans="1:19">
      <c r="A134" s="492"/>
      <c r="B134" s="498"/>
      <c r="C134" s="503"/>
      <c r="D134" s="505"/>
      <c r="E134" s="503"/>
      <c r="F134" s="505"/>
      <c r="G134" s="503"/>
      <c r="H134" s="505"/>
      <c r="I134" s="503"/>
      <c r="J134" s="505"/>
      <c r="K134" s="503"/>
      <c r="L134" s="507"/>
      <c r="M134" s="503"/>
      <c r="N134" s="505"/>
      <c r="O134" s="503"/>
      <c r="P134" s="505"/>
      <c r="Q134" s="503"/>
      <c r="R134" s="505"/>
      <c r="S134" s="509">
        <f>SUM(C134:R135)</f>
        <v>0</v>
      </c>
    </row>
    <row r="135" spans="1:19">
      <c r="A135" s="493"/>
      <c r="B135" s="499"/>
      <c r="C135" s="504"/>
      <c r="D135" s="506"/>
      <c r="E135" s="504"/>
      <c r="F135" s="506"/>
      <c r="G135" s="504"/>
      <c r="H135" s="506"/>
      <c r="I135" s="504"/>
      <c r="J135" s="506"/>
      <c r="K135" s="504"/>
      <c r="L135" s="508"/>
      <c r="M135" s="504"/>
      <c r="N135" s="506"/>
      <c r="O135" s="504"/>
      <c r="P135" s="506"/>
      <c r="Q135" s="504"/>
      <c r="R135" s="506"/>
      <c r="S135" s="510"/>
    </row>
    <row r="136" spans="1:19">
      <c r="A136" s="105"/>
      <c r="B136" s="501" t="s">
        <v>225</v>
      </c>
      <c r="C136" s="503"/>
      <c r="D136" s="505"/>
      <c r="E136" s="503"/>
      <c r="F136" s="505"/>
      <c r="G136" s="503"/>
      <c r="H136" s="505"/>
      <c r="I136" s="503"/>
      <c r="J136" s="505"/>
      <c r="K136" s="503"/>
      <c r="L136" s="507"/>
      <c r="M136" s="503"/>
      <c r="N136" s="505"/>
      <c r="O136" s="503"/>
      <c r="P136" s="505"/>
      <c r="Q136" s="503"/>
      <c r="R136" s="505"/>
      <c r="S136" s="509">
        <f>SUM(C136:R137)</f>
        <v>0</v>
      </c>
    </row>
    <row r="137" spans="1:19" ht="18.2">
      <c r="A137" s="105"/>
      <c r="B137" s="502"/>
      <c r="C137" s="504"/>
      <c r="D137" s="506"/>
      <c r="E137" s="504"/>
      <c r="F137" s="506"/>
      <c r="G137" s="504"/>
      <c r="H137" s="506"/>
      <c r="I137" s="504"/>
      <c r="J137" s="506"/>
      <c r="K137" s="504"/>
      <c r="L137" s="508"/>
      <c r="M137" s="504"/>
      <c r="N137" s="506"/>
      <c r="O137" s="504"/>
      <c r="P137" s="506"/>
      <c r="Q137" s="504"/>
      <c r="R137" s="506"/>
      <c r="S137" s="510"/>
    </row>
    <row r="138" spans="1:19" ht="18.2"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</row>
    <row r="139" spans="1:19">
      <c r="B139" s="519" t="s">
        <v>226</v>
      </c>
      <c r="C139" s="520"/>
      <c r="D139" s="520"/>
      <c r="E139" s="521"/>
      <c r="F139" s="511">
        <f>SUM(S3:S32)</f>
        <v>36500</v>
      </c>
      <c r="G139" s="512"/>
      <c r="H139" s="101"/>
      <c r="I139" s="519" t="s">
        <v>227</v>
      </c>
      <c r="J139" s="520"/>
      <c r="K139" s="520"/>
      <c r="L139" s="521"/>
      <c r="M139" s="511">
        <f>SUM(S34:S119,S120:S135)</f>
        <v>59500</v>
      </c>
      <c r="N139" s="512"/>
      <c r="O139" s="101"/>
      <c r="P139" s="515" t="s">
        <v>228</v>
      </c>
      <c r="Q139" s="516"/>
      <c r="R139" s="511">
        <f>SUM(F139,M139)</f>
        <v>96000</v>
      </c>
      <c r="S139" s="512"/>
    </row>
    <row r="140" spans="1:19" ht="18.2">
      <c r="B140" s="522"/>
      <c r="C140" s="523"/>
      <c r="D140" s="523"/>
      <c r="E140" s="524"/>
      <c r="F140" s="513"/>
      <c r="G140" s="514"/>
      <c r="H140" s="101"/>
      <c r="I140" s="522"/>
      <c r="J140" s="523"/>
      <c r="K140" s="523"/>
      <c r="L140" s="524"/>
      <c r="M140" s="513"/>
      <c r="N140" s="514"/>
      <c r="O140" s="101"/>
      <c r="P140" s="517"/>
      <c r="Q140" s="518"/>
      <c r="R140" s="513"/>
      <c r="S140" s="514"/>
    </row>
  </sheetData>
  <mergeCells count="1250">
    <mergeCell ref="S128:S129"/>
    <mergeCell ref="S130:S131"/>
    <mergeCell ref="S132:S133"/>
    <mergeCell ref="S134:S135"/>
    <mergeCell ref="S136:S137"/>
    <mergeCell ref="F139:G140"/>
    <mergeCell ref="P139:Q140"/>
    <mergeCell ref="R139:S140"/>
    <mergeCell ref="I139:L140"/>
    <mergeCell ref="B139:E140"/>
    <mergeCell ref="M139:N140"/>
    <mergeCell ref="S93:S94"/>
    <mergeCell ref="S95:S96"/>
    <mergeCell ref="S98:S99"/>
    <mergeCell ref="S100:S101"/>
    <mergeCell ref="S102:S103"/>
    <mergeCell ref="S104:S105"/>
    <mergeCell ref="S106:S107"/>
    <mergeCell ref="S108:S109"/>
    <mergeCell ref="S110:S111"/>
    <mergeCell ref="S112:S113"/>
    <mergeCell ref="S114:S115"/>
    <mergeCell ref="S116:S117"/>
    <mergeCell ref="S118:S119"/>
    <mergeCell ref="S120:S121"/>
    <mergeCell ref="S122:S123"/>
    <mergeCell ref="S124:S125"/>
    <mergeCell ref="S126:S127"/>
    <mergeCell ref="R126:R127"/>
    <mergeCell ref="R128:R129"/>
    <mergeCell ref="R130:R131"/>
    <mergeCell ref="R132:R133"/>
    <mergeCell ref="S57:S58"/>
    <mergeCell ref="S59:S60"/>
    <mergeCell ref="S61:S62"/>
    <mergeCell ref="S63:S64"/>
    <mergeCell ref="S65:S66"/>
    <mergeCell ref="S67:S68"/>
    <mergeCell ref="S69:S70"/>
    <mergeCell ref="S72:S73"/>
    <mergeCell ref="S74:S75"/>
    <mergeCell ref="S76:S77"/>
    <mergeCell ref="S78:S79"/>
    <mergeCell ref="S80:S81"/>
    <mergeCell ref="S83:S84"/>
    <mergeCell ref="S85:S86"/>
    <mergeCell ref="S87:S88"/>
    <mergeCell ref="S89:S90"/>
    <mergeCell ref="S91:S92"/>
    <mergeCell ref="R134:R135"/>
    <mergeCell ref="R136:R137"/>
    <mergeCell ref="S3:S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4:S35"/>
    <mergeCell ref="S36:S37"/>
    <mergeCell ref="S38:S39"/>
    <mergeCell ref="S40:S41"/>
    <mergeCell ref="S42:S43"/>
    <mergeCell ref="S44:S45"/>
    <mergeCell ref="S46:S47"/>
    <mergeCell ref="S48:S49"/>
    <mergeCell ref="S50:S51"/>
    <mergeCell ref="S52:S53"/>
    <mergeCell ref="S55:S56"/>
    <mergeCell ref="R91:R92"/>
    <mergeCell ref="R93:R94"/>
    <mergeCell ref="R95:R96"/>
    <mergeCell ref="R98:R99"/>
    <mergeCell ref="R100:R101"/>
    <mergeCell ref="R102:R103"/>
    <mergeCell ref="R104:R105"/>
    <mergeCell ref="R106:R107"/>
    <mergeCell ref="R108:R109"/>
    <mergeCell ref="R110:R111"/>
    <mergeCell ref="R112:R113"/>
    <mergeCell ref="R114:R115"/>
    <mergeCell ref="R116:R117"/>
    <mergeCell ref="R118:R119"/>
    <mergeCell ref="R120:R121"/>
    <mergeCell ref="R122:R123"/>
    <mergeCell ref="R124:R125"/>
    <mergeCell ref="R55:R56"/>
    <mergeCell ref="R57:R58"/>
    <mergeCell ref="R59:R60"/>
    <mergeCell ref="R61:R62"/>
    <mergeCell ref="R63:R64"/>
    <mergeCell ref="R65:R66"/>
    <mergeCell ref="R67:R68"/>
    <mergeCell ref="R69:R70"/>
    <mergeCell ref="R72:R73"/>
    <mergeCell ref="R74:R75"/>
    <mergeCell ref="R76:R77"/>
    <mergeCell ref="R78:R79"/>
    <mergeCell ref="R80:R81"/>
    <mergeCell ref="R83:R84"/>
    <mergeCell ref="R85:R86"/>
    <mergeCell ref="R87:R88"/>
    <mergeCell ref="R89:R90"/>
    <mergeCell ref="Q124:Q125"/>
    <mergeCell ref="Q126:Q127"/>
    <mergeCell ref="Q128:Q129"/>
    <mergeCell ref="Q130:Q131"/>
    <mergeCell ref="Q132:Q133"/>
    <mergeCell ref="Q134:Q135"/>
    <mergeCell ref="Q136:Q137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Q89:Q90"/>
    <mergeCell ref="Q91:Q92"/>
    <mergeCell ref="Q93:Q94"/>
    <mergeCell ref="Q95:Q96"/>
    <mergeCell ref="Q98:Q99"/>
    <mergeCell ref="Q100:Q101"/>
    <mergeCell ref="Q102:Q103"/>
    <mergeCell ref="Q104:Q105"/>
    <mergeCell ref="Q106:Q107"/>
    <mergeCell ref="Q108:Q109"/>
    <mergeCell ref="Q110:Q111"/>
    <mergeCell ref="Q112:Q113"/>
    <mergeCell ref="Q114:Q115"/>
    <mergeCell ref="Q116:Q117"/>
    <mergeCell ref="Q118:Q119"/>
    <mergeCell ref="Q120:Q121"/>
    <mergeCell ref="Q122:Q123"/>
    <mergeCell ref="Q52:Q53"/>
    <mergeCell ref="Q55:Q56"/>
    <mergeCell ref="Q57:Q58"/>
    <mergeCell ref="Q59:Q60"/>
    <mergeCell ref="Q61:Q62"/>
    <mergeCell ref="Q63:Q64"/>
    <mergeCell ref="Q65:Q66"/>
    <mergeCell ref="Q67:Q68"/>
    <mergeCell ref="Q69:Q70"/>
    <mergeCell ref="Q72:Q73"/>
    <mergeCell ref="Q74:Q75"/>
    <mergeCell ref="Q76:Q77"/>
    <mergeCell ref="Q78:Q79"/>
    <mergeCell ref="Q80:Q81"/>
    <mergeCell ref="Q83:Q84"/>
    <mergeCell ref="Q85:Q86"/>
    <mergeCell ref="Q87:Q88"/>
    <mergeCell ref="P122:P123"/>
    <mergeCell ref="P124:P125"/>
    <mergeCell ref="P126:P127"/>
    <mergeCell ref="P128:P129"/>
    <mergeCell ref="P130:P131"/>
    <mergeCell ref="P132:P133"/>
    <mergeCell ref="P134:P135"/>
    <mergeCell ref="P136:P137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P87:P88"/>
    <mergeCell ref="P89:P90"/>
    <mergeCell ref="P91:P92"/>
    <mergeCell ref="P93:P94"/>
    <mergeCell ref="P95:P96"/>
    <mergeCell ref="P98:P99"/>
    <mergeCell ref="P100:P101"/>
    <mergeCell ref="P102:P103"/>
    <mergeCell ref="P104:P105"/>
    <mergeCell ref="P106:P107"/>
    <mergeCell ref="P108:P109"/>
    <mergeCell ref="P110:P111"/>
    <mergeCell ref="P112:P113"/>
    <mergeCell ref="P114:P115"/>
    <mergeCell ref="P116:P117"/>
    <mergeCell ref="P118:P119"/>
    <mergeCell ref="P120:P121"/>
    <mergeCell ref="P50:P51"/>
    <mergeCell ref="P52:P53"/>
    <mergeCell ref="P55:P56"/>
    <mergeCell ref="P57:P58"/>
    <mergeCell ref="P59:P60"/>
    <mergeCell ref="P61:P62"/>
    <mergeCell ref="P63:P64"/>
    <mergeCell ref="P65:P66"/>
    <mergeCell ref="P67:P68"/>
    <mergeCell ref="P69:P70"/>
    <mergeCell ref="P72:P73"/>
    <mergeCell ref="P74:P75"/>
    <mergeCell ref="P76:P77"/>
    <mergeCell ref="P78:P79"/>
    <mergeCell ref="P80:P81"/>
    <mergeCell ref="P83:P84"/>
    <mergeCell ref="P85:P86"/>
    <mergeCell ref="O120:O121"/>
    <mergeCell ref="O122:O123"/>
    <mergeCell ref="O124:O125"/>
    <mergeCell ref="O126:O127"/>
    <mergeCell ref="O128:O129"/>
    <mergeCell ref="O130:O131"/>
    <mergeCell ref="O132:O133"/>
    <mergeCell ref="O134:O135"/>
    <mergeCell ref="O136:O137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4:P35"/>
    <mergeCell ref="P36:P37"/>
    <mergeCell ref="P38:P39"/>
    <mergeCell ref="P40:P41"/>
    <mergeCell ref="P42:P43"/>
    <mergeCell ref="P44:P45"/>
    <mergeCell ref="P46:P47"/>
    <mergeCell ref="P48:P49"/>
    <mergeCell ref="O85:O86"/>
    <mergeCell ref="O87:O88"/>
    <mergeCell ref="O89:O90"/>
    <mergeCell ref="O91:O92"/>
    <mergeCell ref="O93:O94"/>
    <mergeCell ref="O95:O96"/>
    <mergeCell ref="O98:O99"/>
    <mergeCell ref="O100:O101"/>
    <mergeCell ref="O102:O103"/>
    <mergeCell ref="O104:O105"/>
    <mergeCell ref="O106:O107"/>
    <mergeCell ref="O108:O109"/>
    <mergeCell ref="O110:O111"/>
    <mergeCell ref="O112:O113"/>
    <mergeCell ref="O114:O115"/>
    <mergeCell ref="O116:O117"/>
    <mergeCell ref="O118:O119"/>
    <mergeCell ref="O48:O49"/>
    <mergeCell ref="O50:O51"/>
    <mergeCell ref="O52:O53"/>
    <mergeCell ref="O55:O56"/>
    <mergeCell ref="O57:O58"/>
    <mergeCell ref="O59:O60"/>
    <mergeCell ref="O61:O62"/>
    <mergeCell ref="O63:O64"/>
    <mergeCell ref="O65:O66"/>
    <mergeCell ref="O67:O68"/>
    <mergeCell ref="O69:O70"/>
    <mergeCell ref="O72:O73"/>
    <mergeCell ref="O74:O75"/>
    <mergeCell ref="O76:O77"/>
    <mergeCell ref="O78:O79"/>
    <mergeCell ref="O80:O81"/>
    <mergeCell ref="O83:O84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4:O35"/>
    <mergeCell ref="O36:O37"/>
    <mergeCell ref="O38:O39"/>
    <mergeCell ref="O40:O41"/>
    <mergeCell ref="O42:O43"/>
    <mergeCell ref="O44:O45"/>
    <mergeCell ref="O46:O47"/>
    <mergeCell ref="N83:N84"/>
    <mergeCell ref="N85:N86"/>
    <mergeCell ref="N87:N88"/>
    <mergeCell ref="N89:N90"/>
    <mergeCell ref="N91:N92"/>
    <mergeCell ref="N93:N94"/>
    <mergeCell ref="N95:N96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46:N47"/>
    <mergeCell ref="N48:N49"/>
    <mergeCell ref="N50:N51"/>
    <mergeCell ref="N52:N53"/>
    <mergeCell ref="N55:N56"/>
    <mergeCell ref="N57:N58"/>
    <mergeCell ref="N59:N60"/>
    <mergeCell ref="N61:N62"/>
    <mergeCell ref="N63:N64"/>
    <mergeCell ref="N65:N66"/>
    <mergeCell ref="N67:N68"/>
    <mergeCell ref="N69:N70"/>
    <mergeCell ref="N72:N73"/>
    <mergeCell ref="N74:N75"/>
    <mergeCell ref="N76:N77"/>
    <mergeCell ref="N78:N79"/>
    <mergeCell ref="N80:N81"/>
    <mergeCell ref="M116:M117"/>
    <mergeCell ref="M118:M119"/>
    <mergeCell ref="M120:M121"/>
    <mergeCell ref="M122:M123"/>
    <mergeCell ref="M124:M125"/>
    <mergeCell ref="M126:M127"/>
    <mergeCell ref="M128:M129"/>
    <mergeCell ref="M130:M131"/>
    <mergeCell ref="M132:M133"/>
    <mergeCell ref="M134:M135"/>
    <mergeCell ref="M136:M137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4:N35"/>
    <mergeCell ref="N36:N37"/>
    <mergeCell ref="N38:N39"/>
    <mergeCell ref="N40:N41"/>
    <mergeCell ref="N42:N43"/>
    <mergeCell ref="N44:N45"/>
    <mergeCell ref="M80:M81"/>
    <mergeCell ref="M83:M84"/>
    <mergeCell ref="M85:M86"/>
    <mergeCell ref="M87:M88"/>
    <mergeCell ref="M89:M90"/>
    <mergeCell ref="M91:M92"/>
    <mergeCell ref="M93:M94"/>
    <mergeCell ref="M95:M96"/>
    <mergeCell ref="M98:M99"/>
    <mergeCell ref="M100:M101"/>
    <mergeCell ref="M102:M103"/>
    <mergeCell ref="M104:M105"/>
    <mergeCell ref="M106:M107"/>
    <mergeCell ref="M108:M109"/>
    <mergeCell ref="M110:M111"/>
    <mergeCell ref="M112:M113"/>
    <mergeCell ref="M114:M115"/>
    <mergeCell ref="M44:M45"/>
    <mergeCell ref="M46:M47"/>
    <mergeCell ref="M48:M49"/>
    <mergeCell ref="M50:M51"/>
    <mergeCell ref="M52:M53"/>
    <mergeCell ref="M55:M56"/>
    <mergeCell ref="M57:M58"/>
    <mergeCell ref="M59:M60"/>
    <mergeCell ref="M61:M62"/>
    <mergeCell ref="M63:M64"/>
    <mergeCell ref="M65:M66"/>
    <mergeCell ref="M67:M68"/>
    <mergeCell ref="M69:M70"/>
    <mergeCell ref="M72:M73"/>
    <mergeCell ref="M74:M75"/>
    <mergeCell ref="M76:M77"/>
    <mergeCell ref="M78:M79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4:M35"/>
    <mergeCell ref="M36:M37"/>
    <mergeCell ref="M38:M39"/>
    <mergeCell ref="M40:M41"/>
    <mergeCell ref="M42:M43"/>
    <mergeCell ref="L78:L79"/>
    <mergeCell ref="L80:L81"/>
    <mergeCell ref="L83:L84"/>
    <mergeCell ref="L85:L86"/>
    <mergeCell ref="L87:L88"/>
    <mergeCell ref="L89:L90"/>
    <mergeCell ref="L91:L92"/>
    <mergeCell ref="L93:L94"/>
    <mergeCell ref="L95:L96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42:L43"/>
    <mergeCell ref="L44:L45"/>
    <mergeCell ref="L46:L47"/>
    <mergeCell ref="L48:L49"/>
    <mergeCell ref="L50:L51"/>
    <mergeCell ref="L52:L53"/>
    <mergeCell ref="L55:L56"/>
    <mergeCell ref="L57:L58"/>
    <mergeCell ref="L59:L60"/>
    <mergeCell ref="L61:L62"/>
    <mergeCell ref="L63:L64"/>
    <mergeCell ref="L65:L66"/>
    <mergeCell ref="L67:L68"/>
    <mergeCell ref="L69:L70"/>
    <mergeCell ref="L72:L73"/>
    <mergeCell ref="L74:L75"/>
    <mergeCell ref="L76:L77"/>
    <mergeCell ref="K112:K113"/>
    <mergeCell ref="K114:K115"/>
    <mergeCell ref="K116:K117"/>
    <mergeCell ref="K118:K119"/>
    <mergeCell ref="K120:K121"/>
    <mergeCell ref="K122:K123"/>
    <mergeCell ref="K124:K125"/>
    <mergeCell ref="K126:K127"/>
    <mergeCell ref="K128:K129"/>
    <mergeCell ref="K130:K131"/>
    <mergeCell ref="K132:K133"/>
    <mergeCell ref="K134:K135"/>
    <mergeCell ref="K136:K137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4:L35"/>
    <mergeCell ref="L36:L37"/>
    <mergeCell ref="L38:L39"/>
    <mergeCell ref="L40:L41"/>
    <mergeCell ref="K76:K77"/>
    <mergeCell ref="K78:K79"/>
    <mergeCell ref="K80:K81"/>
    <mergeCell ref="K83:K84"/>
    <mergeCell ref="K85:K86"/>
    <mergeCell ref="K87:K88"/>
    <mergeCell ref="K89:K90"/>
    <mergeCell ref="K91:K92"/>
    <mergeCell ref="K93:K94"/>
    <mergeCell ref="K95:K96"/>
    <mergeCell ref="K98:K99"/>
    <mergeCell ref="K100:K101"/>
    <mergeCell ref="K102:K103"/>
    <mergeCell ref="K104:K105"/>
    <mergeCell ref="K106:K107"/>
    <mergeCell ref="K108:K109"/>
    <mergeCell ref="K110:K111"/>
    <mergeCell ref="K40:K41"/>
    <mergeCell ref="K42:K43"/>
    <mergeCell ref="K44:K45"/>
    <mergeCell ref="K46:K47"/>
    <mergeCell ref="K48:K49"/>
    <mergeCell ref="K50:K51"/>
    <mergeCell ref="K52:K53"/>
    <mergeCell ref="K55:K56"/>
    <mergeCell ref="K57:K58"/>
    <mergeCell ref="K59:K60"/>
    <mergeCell ref="K61:K62"/>
    <mergeCell ref="K63:K64"/>
    <mergeCell ref="K65:K66"/>
    <mergeCell ref="K67:K68"/>
    <mergeCell ref="K69:K70"/>
    <mergeCell ref="K72:K73"/>
    <mergeCell ref="K74:K75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4:K35"/>
    <mergeCell ref="K36:K37"/>
    <mergeCell ref="K38:K39"/>
    <mergeCell ref="J74:J75"/>
    <mergeCell ref="J76:J77"/>
    <mergeCell ref="J78:J79"/>
    <mergeCell ref="J80:J81"/>
    <mergeCell ref="J83:J84"/>
    <mergeCell ref="J85:J86"/>
    <mergeCell ref="J87:J88"/>
    <mergeCell ref="J89:J90"/>
    <mergeCell ref="J91:J92"/>
    <mergeCell ref="J93:J94"/>
    <mergeCell ref="J95:J96"/>
    <mergeCell ref="J98:J99"/>
    <mergeCell ref="J100:J101"/>
    <mergeCell ref="J102:J103"/>
    <mergeCell ref="J104:J105"/>
    <mergeCell ref="J106:J107"/>
    <mergeCell ref="J108:J109"/>
    <mergeCell ref="J38:J39"/>
    <mergeCell ref="J40:J41"/>
    <mergeCell ref="J42:J43"/>
    <mergeCell ref="J44:J45"/>
    <mergeCell ref="J46:J47"/>
    <mergeCell ref="J48:J49"/>
    <mergeCell ref="J50:J51"/>
    <mergeCell ref="J52:J53"/>
    <mergeCell ref="J55:J56"/>
    <mergeCell ref="J57:J58"/>
    <mergeCell ref="J59:J60"/>
    <mergeCell ref="J61:J62"/>
    <mergeCell ref="J63:J64"/>
    <mergeCell ref="J65:J66"/>
    <mergeCell ref="J67:J68"/>
    <mergeCell ref="J69:J70"/>
    <mergeCell ref="J72:J73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4:J35"/>
    <mergeCell ref="J36:J37"/>
    <mergeCell ref="I104:I105"/>
    <mergeCell ref="I106:I107"/>
    <mergeCell ref="I108:I109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I128:I129"/>
    <mergeCell ref="I130:I131"/>
    <mergeCell ref="I132:I133"/>
    <mergeCell ref="I134:I135"/>
    <mergeCell ref="I136:I137"/>
    <mergeCell ref="I67:I68"/>
    <mergeCell ref="I69:I70"/>
    <mergeCell ref="I72:I73"/>
    <mergeCell ref="I74:I75"/>
    <mergeCell ref="I76:I77"/>
    <mergeCell ref="I78:I79"/>
    <mergeCell ref="I80:I81"/>
    <mergeCell ref="I83:I84"/>
    <mergeCell ref="I85:I86"/>
    <mergeCell ref="I87:I88"/>
    <mergeCell ref="I89:I90"/>
    <mergeCell ref="I91:I92"/>
    <mergeCell ref="I93:I94"/>
    <mergeCell ref="I95:I96"/>
    <mergeCell ref="I98:I99"/>
    <mergeCell ref="I100:I101"/>
    <mergeCell ref="I102:I103"/>
    <mergeCell ref="H136:H137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5:I56"/>
    <mergeCell ref="I57:I58"/>
    <mergeCell ref="I59:I60"/>
    <mergeCell ref="I61:I62"/>
    <mergeCell ref="I63:I64"/>
    <mergeCell ref="I65:I66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65:H66"/>
    <mergeCell ref="H67:H68"/>
    <mergeCell ref="H69:H70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91:H92"/>
    <mergeCell ref="H93:H94"/>
    <mergeCell ref="H95:H96"/>
    <mergeCell ref="H98:H99"/>
    <mergeCell ref="H100:H101"/>
    <mergeCell ref="G134:G135"/>
    <mergeCell ref="G136:G137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5:H56"/>
    <mergeCell ref="H57:H58"/>
    <mergeCell ref="H59:H60"/>
    <mergeCell ref="H61:H62"/>
    <mergeCell ref="H63:H64"/>
    <mergeCell ref="G100:G101"/>
    <mergeCell ref="G102:G103"/>
    <mergeCell ref="G104:G105"/>
    <mergeCell ref="G106:G107"/>
    <mergeCell ref="G108:G109"/>
    <mergeCell ref="G110:G111"/>
    <mergeCell ref="G112:G113"/>
    <mergeCell ref="G114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132:G133"/>
    <mergeCell ref="G63:G64"/>
    <mergeCell ref="G65:G66"/>
    <mergeCell ref="G67:G68"/>
    <mergeCell ref="G69:G70"/>
    <mergeCell ref="G72:G73"/>
    <mergeCell ref="G74:G75"/>
    <mergeCell ref="G76:G77"/>
    <mergeCell ref="G78:G79"/>
    <mergeCell ref="G80:G81"/>
    <mergeCell ref="G83:G84"/>
    <mergeCell ref="G85:G86"/>
    <mergeCell ref="G87:G88"/>
    <mergeCell ref="G89:G90"/>
    <mergeCell ref="G91:G92"/>
    <mergeCell ref="G93:G94"/>
    <mergeCell ref="G95:G96"/>
    <mergeCell ref="G98:G99"/>
    <mergeCell ref="F132:F133"/>
    <mergeCell ref="F134:F135"/>
    <mergeCell ref="F136:F137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5:G56"/>
    <mergeCell ref="G57:G58"/>
    <mergeCell ref="G59:G60"/>
    <mergeCell ref="G61:G62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61:F62"/>
    <mergeCell ref="F63:F64"/>
    <mergeCell ref="F65:F66"/>
    <mergeCell ref="F67:F68"/>
    <mergeCell ref="F69:F70"/>
    <mergeCell ref="F72:F73"/>
    <mergeCell ref="F74:F75"/>
    <mergeCell ref="F76:F77"/>
    <mergeCell ref="F78:F79"/>
    <mergeCell ref="F80:F81"/>
    <mergeCell ref="F83:F84"/>
    <mergeCell ref="F85:F86"/>
    <mergeCell ref="F87:F88"/>
    <mergeCell ref="F89:F90"/>
    <mergeCell ref="F91:F92"/>
    <mergeCell ref="F93:F94"/>
    <mergeCell ref="F95:F96"/>
    <mergeCell ref="E130:E131"/>
    <mergeCell ref="E132:E133"/>
    <mergeCell ref="E134:E135"/>
    <mergeCell ref="E136:E137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5:F56"/>
    <mergeCell ref="F57:F58"/>
    <mergeCell ref="F59:F60"/>
    <mergeCell ref="E95:E96"/>
    <mergeCell ref="E98:E99"/>
    <mergeCell ref="E100:E101"/>
    <mergeCell ref="E102:E103"/>
    <mergeCell ref="E104:E105"/>
    <mergeCell ref="E106:E107"/>
    <mergeCell ref="E108:E109"/>
    <mergeCell ref="E110:E111"/>
    <mergeCell ref="E112:E113"/>
    <mergeCell ref="E114:E115"/>
    <mergeCell ref="E116:E117"/>
    <mergeCell ref="E118:E119"/>
    <mergeCell ref="E120:E121"/>
    <mergeCell ref="E122:E123"/>
    <mergeCell ref="E124:E125"/>
    <mergeCell ref="E126:E127"/>
    <mergeCell ref="E128:E129"/>
    <mergeCell ref="E59:E60"/>
    <mergeCell ref="E61:E62"/>
    <mergeCell ref="E63:E64"/>
    <mergeCell ref="E65:E66"/>
    <mergeCell ref="E67:E68"/>
    <mergeCell ref="E69:E70"/>
    <mergeCell ref="E72:E73"/>
    <mergeCell ref="E74:E75"/>
    <mergeCell ref="E76:E77"/>
    <mergeCell ref="E78:E79"/>
    <mergeCell ref="E80:E81"/>
    <mergeCell ref="E83:E84"/>
    <mergeCell ref="E85:E86"/>
    <mergeCell ref="E87:E88"/>
    <mergeCell ref="E89:E90"/>
    <mergeCell ref="E91:E92"/>
    <mergeCell ref="E93:E94"/>
    <mergeCell ref="D128:D129"/>
    <mergeCell ref="D130:D131"/>
    <mergeCell ref="D132:D133"/>
    <mergeCell ref="D134:D135"/>
    <mergeCell ref="D136:D137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5:E56"/>
    <mergeCell ref="E57:E58"/>
    <mergeCell ref="D93:D94"/>
    <mergeCell ref="D95:D96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57:D58"/>
    <mergeCell ref="D59:D60"/>
    <mergeCell ref="D61:D62"/>
    <mergeCell ref="D63:D64"/>
    <mergeCell ref="D65:D66"/>
    <mergeCell ref="D67:D68"/>
    <mergeCell ref="D69:D70"/>
    <mergeCell ref="D72:D73"/>
    <mergeCell ref="D74:D75"/>
    <mergeCell ref="D76:D77"/>
    <mergeCell ref="D78:D79"/>
    <mergeCell ref="D80:D81"/>
    <mergeCell ref="D83:D84"/>
    <mergeCell ref="D85:D86"/>
    <mergeCell ref="D87:D88"/>
    <mergeCell ref="D89:D90"/>
    <mergeCell ref="D91:D92"/>
    <mergeCell ref="C126:C127"/>
    <mergeCell ref="C128:C129"/>
    <mergeCell ref="C130:C131"/>
    <mergeCell ref="C132:C133"/>
    <mergeCell ref="C134:C135"/>
    <mergeCell ref="C136:C137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5:D56"/>
    <mergeCell ref="C91:C92"/>
    <mergeCell ref="C93:C94"/>
    <mergeCell ref="C95:C96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55:C56"/>
    <mergeCell ref="C57:C58"/>
    <mergeCell ref="C59:C60"/>
    <mergeCell ref="C61:C62"/>
    <mergeCell ref="C63:C64"/>
    <mergeCell ref="C65:C66"/>
    <mergeCell ref="C67:C68"/>
    <mergeCell ref="C69:C70"/>
    <mergeCell ref="C72:C73"/>
    <mergeCell ref="C74:C75"/>
    <mergeCell ref="C76:C77"/>
    <mergeCell ref="C78:C79"/>
    <mergeCell ref="C80:C81"/>
    <mergeCell ref="C83:C84"/>
    <mergeCell ref="C85:C86"/>
    <mergeCell ref="C87:C88"/>
    <mergeCell ref="C89:C90"/>
    <mergeCell ref="B124:B125"/>
    <mergeCell ref="B126:B127"/>
    <mergeCell ref="B128:B129"/>
    <mergeCell ref="B130:B131"/>
    <mergeCell ref="B132:B133"/>
    <mergeCell ref="B134:B135"/>
    <mergeCell ref="B136:B137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B89:B90"/>
    <mergeCell ref="B91:B92"/>
    <mergeCell ref="B93:B94"/>
    <mergeCell ref="B95:B96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52:B53"/>
    <mergeCell ref="B55:B56"/>
    <mergeCell ref="B57:B58"/>
    <mergeCell ref="B59:B60"/>
    <mergeCell ref="B61:B62"/>
    <mergeCell ref="B63:B64"/>
    <mergeCell ref="B65:B66"/>
    <mergeCell ref="B67:B68"/>
    <mergeCell ref="B69:B70"/>
    <mergeCell ref="B72:B73"/>
    <mergeCell ref="B74:B75"/>
    <mergeCell ref="B76:B77"/>
    <mergeCell ref="B78:B79"/>
    <mergeCell ref="B80:B81"/>
    <mergeCell ref="B83:B84"/>
    <mergeCell ref="B85:B86"/>
    <mergeCell ref="B87:B88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A85:A86"/>
    <mergeCell ref="A87:A88"/>
    <mergeCell ref="A89:A90"/>
    <mergeCell ref="A91:A92"/>
    <mergeCell ref="A93:A94"/>
    <mergeCell ref="A95:A96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48:A49"/>
    <mergeCell ref="A50:A51"/>
    <mergeCell ref="A52:A53"/>
    <mergeCell ref="A55:A56"/>
    <mergeCell ref="A57:A58"/>
    <mergeCell ref="A59:A60"/>
    <mergeCell ref="A61:A62"/>
    <mergeCell ref="A63:A64"/>
    <mergeCell ref="A65:A66"/>
    <mergeCell ref="A67:A68"/>
    <mergeCell ref="A69:A70"/>
    <mergeCell ref="A72:A73"/>
    <mergeCell ref="A74:A75"/>
    <mergeCell ref="A76:A77"/>
    <mergeCell ref="A78:A79"/>
    <mergeCell ref="A80:A81"/>
    <mergeCell ref="A83:A84"/>
    <mergeCell ref="A1:E1"/>
    <mergeCell ref="F1:G1"/>
    <mergeCell ref="H1:L1"/>
    <mergeCell ref="M1:R1"/>
    <mergeCell ref="A2:S2"/>
    <mergeCell ref="A33:S33"/>
    <mergeCell ref="A54:S54"/>
    <mergeCell ref="A71:S71"/>
    <mergeCell ref="A82:S82"/>
    <mergeCell ref="A97:S97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4:A35"/>
    <mergeCell ref="A36:A37"/>
    <mergeCell ref="A38:A39"/>
    <mergeCell ref="A40:A41"/>
    <mergeCell ref="A42:A43"/>
    <mergeCell ref="A44:A45"/>
    <mergeCell ref="A46:A47"/>
  </mergeCells>
  <printOptions verticalCentered="1"/>
  <pageMargins left="0.7" right="0.7" top="0.75" bottom="0.75" header="0.3" footer="0.3"/>
  <pageSetup paperSize="9" scale="73" orientation="landscape"/>
  <headerFooter alignWithMargins="0"/>
  <ignoredErrors>
    <ignoredError sqref="A119:B119 A117 B112:B117 E118:R118 E119:S119 B98 B106:B110 B100:B101 B102:B103 B104:B105 D83:S96 B91:B96 B83:B90 D73:S73 D56:S56 D34:S53 E116:S117 Q114:R114 E113 F108:S109 F98:S99 A115 A113 A111:B111 S100:S107 A99:B99 E14:S14 D17:S32 B3:B32 F3:S4 B74:B81 A82:S82 B72 A73:B73 B57:B70 B55 A56:B56 B36:B53 B54:S54 B34 A108:A109 A97:S97 B71:S71 A35:B35 D58:S70 E57:S57 E16 K15:S15 G13:S13 L113:M113 G16:S16 F10:S12 G9:S9 G111:H111 L110:S110 E115:L115 Q115:S115 L111:S111 E55:S55 F6:S8 G5:S5 E72:S72 D75:S81 E74:S74 P112:S112 P113:S113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4506668294322"/>
    <pageSetUpPr fitToPage="1"/>
  </sheetPr>
  <dimension ref="A1:Y39"/>
  <sheetViews>
    <sheetView zoomScale="70" zoomScaleNormal="70" zoomScalePageLayoutView="65" workbookViewId="0">
      <selection activeCell="C8" sqref="C8"/>
    </sheetView>
  </sheetViews>
  <sheetFormatPr defaultColWidth="8.85546875" defaultRowHeight="13.15"/>
  <cols>
    <col min="2" max="2" width="40.42578125" customWidth="1"/>
    <col min="3" max="3" width="46.42578125" customWidth="1"/>
    <col min="4" max="4" width="16.42578125" customWidth="1"/>
    <col min="5" max="5" width="33.28515625" customWidth="1"/>
    <col min="6" max="13" width="23.7109375" customWidth="1"/>
  </cols>
  <sheetData>
    <row r="1" spans="1:25" ht="22.5" customHeight="1">
      <c r="D1" s="531" t="s">
        <v>229</v>
      </c>
      <c r="E1" s="532"/>
    </row>
    <row r="2" spans="1:25" ht="4.5" customHeight="1">
      <c r="D2" s="77"/>
      <c r="E2" s="77"/>
    </row>
    <row r="3" spans="1:25" ht="17.25" customHeight="1">
      <c r="A3" s="533" t="s">
        <v>220</v>
      </c>
      <c r="B3" s="534"/>
      <c r="C3" s="78" t="s">
        <v>230</v>
      </c>
      <c r="D3" s="535" t="s">
        <v>222</v>
      </c>
      <c r="E3" s="536"/>
      <c r="F3" s="79"/>
      <c r="G3" s="79"/>
      <c r="H3" s="79"/>
      <c r="I3" s="537"/>
      <c r="J3" s="538"/>
      <c r="K3" s="538"/>
      <c r="L3" s="538"/>
      <c r="M3" s="538"/>
      <c r="N3" s="538"/>
      <c r="O3" s="538"/>
      <c r="P3" s="538"/>
      <c r="Q3" s="538"/>
      <c r="R3" s="538"/>
      <c r="S3" s="100"/>
      <c r="T3" s="528"/>
      <c r="U3" s="529"/>
      <c r="V3" s="529"/>
      <c r="W3" s="529"/>
      <c r="X3" s="529"/>
      <c r="Y3" s="529"/>
    </row>
    <row r="4" spans="1:25" s="76" customFormat="1" ht="9.75" customHeight="1">
      <c r="B4" s="80"/>
    </row>
    <row r="5" spans="1:25" s="21" customFormat="1" ht="21.95" customHeight="1">
      <c r="A5" s="81" t="s">
        <v>136</v>
      </c>
      <c r="B5" s="82" t="s">
        <v>231</v>
      </c>
      <c r="C5" s="83" t="s">
        <v>232</v>
      </c>
      <c r="D5" s="84" t="s">
        <v>233</v>
      </c>
      <c r="E5" s="83" t="s">
        <v>234</v>
      </c>
      <c r="F5" s="314"/>
      <c r="G5" s="314"/>
      <c r="H5" s="314"/>
      <c r="I5" s="314"/>
      <c r="J5" s="314"/>
      <c r="K5" s="314"/>
      <c r="L5" s="314"/>
      <c r="M5" s="314"/>
      <c r="N5" s="314"/>
      <c r="O5" s="314"/>
      <c r="P5" s="314"/>
      <c r="Q5" s="314"/>
      <c r="R5" s="314"/>
      <c r="S5" s="314"/>
      <c r="T5" s="314"/>
      <c r="U5" s="314"/>
      <c r="V5" s="314"/>
      <c r="W5" s="314"/>
      <c r="X5" s="314"/>
      <c r="Y5" s="314"/>
    </row>
    <row r="6" spans="1:25" ht="30" customHeight="1">
      <c r="A6" s="85"/>
      <c r="B6" s="86"/>
      <c r="C6" s="87"/>
      <c r="D6" s="88"/>
      <c r="E6" s="89"/>
    </row>
    <row r="7" spans="1:25" ht="30" customHeight="1">
      <c r="A7" s="16"/>
      <c r="B7" s="90"/>
      <c r="C7" s="91"/>
      <c r="D7" s="92"/>
      <c r="E7" s="93"/>
    </row>
    <row r="8" spans="1:25" ht="30" customHeight="1">
      <c r="A8" s="16"/>
      <c r="B8" s="90"/>
      <c r="C8" s="91"/>
      <c r="D8" s="92"/>
      <c r="E8" s="93"/>
    </row>
    <row r="9" spans="1:25" ht="30" customHeight="1">
      <c r="A9" s="16"/>
      <c r="B9" s="90"/>
      <c r="C9" s="91"/>
      <c r="D9" s="92"/>
      <c r="E9" s="93"/>
    </row>
    <row r="10" spans="1:25" ht="30" customHeight="1">
      <c r="A10" s="16"/>
      <c r="B10" s="90"/>
      <c r="C10" s="91"/>
      <c r="D10" s="92"/>
      <c r="E10" s="93"/>
    </row>
    <row r="11" spans="1:25" ht="30" customHeight="1">
      <c r="A11" s="16"/>
      <c r="B11" s="90"/>
      <c r="C11" s="91"/>
      <c r="D11" s="92"/>
      <c r="E11" s="93"/>
    </row>
    <row r="12" spans="1:25" ht="30" customHeight="1">
      <c r="A12" s="16"/>
      <c r="B12" s="90"/>
      <c r="C12" s="91"/>
      <c r="D12" s="92"/>
      <c r="E12" s="93"/>
    </row>
    <row r="13" spans="1:25" ht="30" customHeight="1">
      <c r="A13" s="16"/>
      <c r="B13" s="90"/>
      <c r="C13" s="91"/>
      <c r="D13" s="92"/>
      <c r="E13" s="93"/>
    </row>
    <row r="14" spans="1:25" ht="30" customHeight="1">
      <c r="A14" s="16"/>
      <c r="B14" s="90"/>
      <c r="C14" s="91"/>
      <c r="D14" s="92"/>
      <c r="E14" s="93"/>
      <c r="G14" t="s">
        <v>124</v>
      </c>
    </row>
    <row r="15" spans="1:25" ht="30" customHeight="1">
      <c r="A15" s="16"/>
      <c r="B15" s="90"/>
      <c r="C15" s="91"/>
      <c r="D15" s="92"/>
      <c r="E15" s="93"/>
    </row>
    <row r="16" spans="1:25" ht="30" customHeight="1">
      <c r="A16" s="16"/>
      <c r="B16" s="90"/>
      <c r="C16" s="91"/>
      <c r="D16" s="92"/>
      <c r="E16" s="93"/>
    </row>
    <row r="17" spans="1:5" ht="30" customHeight="1">
      <c r="A17" s="16"/>
      <c r="B17" s="90"/>
      <c r="C17" s="91"/>
      <c r="D17" s="92"/>
      <c r="E17" s="93"/>
    </row>
    <row r="18" spans="1:5" ht="30" customHeight="1">
      <c r="A18" s="16"/>
      <c r="B18" s="90"/>
      <c r="C18" s="91"/>
      <c r="D18" s="92"/>
      <c r="E18" s="93"/>
    </row>
    <row r="19" spans="1:5" ht="30" customHeight="1">
      <c r="A19" s="94"/>
      <c r="B19" s="95"/>
      <c r="C19" s="91"/>
      <c r="D19" s="96"/>
      <c r="E19" s="97"/>
    </row>
    <row r="20" spans="1:5" ht="27" customHeight="1">
      <c r="B20" s="80"/>
      <c r="D20" s="98" t="s">
        <v>235</v>
      </c>
    </row>
    <row r="21" spans="1:5" ht="30" customHeight="1">
      <c r="A21" s="530" t="s">
        <v>236</v>
      </c>
      <c r="B21" s="530"/>
      <c r="D21" s="99"/>
    </row>
    <row r="22" spans="1:5" ht="30" customHeight="1"/>
    <row r="23" spans="1:5" ht="30" customHeight="1"/>
    <row r="24" spans="1:5" ht="21.95" customHeight="1"/>
    <row r="25" spans="1:5" ht="21.95" customHeight="1"/>
    <row r="26" spans="1:5" ht="21.95" customHeight="1"/>
    <row r="27" spans="1:5" ht="21.95" customHeight="1"/>
    <row r="28" spans="1:5" ht="21.95" customHeight="1"/>
    <row r="29" spans="1:5" ht="21.95" customHeight="1"/>
    <row r="30" spans="1:5" ht="21.95" customHeight="1"/>
    <row r="31" spans="1:5" ht="21.95" customHeight="1"/>
    <row r="32" spans="1:5" ht="21.95" customHeight="1"/>
    <row r="33" spans="2:4" ht="21.95" customHeight="1"/>
    <row r="34" spans="2:4" ht="21.95" customHeight="1"/>
    <row r="35" spans="2:4" ht="21.95" customHeight="1"/>
    <row r="36" spans="2:4" ht="21.95" customHeight="1"/>
    <row r="37" spans="2:4" ht="21.95" customHeight="1"/>
    <row r="38" spans="2:4" ht="21.95" customHeight="1">
      <c r="B38" s="37"/>
      <c r="D38" s="37"/>
    </row>
    <row r="39" spans="2:4" ht="21.95" customHeight="1"/>
  </sheetData>
  <mergeCells count="6">
    <mergeCell ref="T3:Y3"/>
    <mergeCell ref="A21:B21"/>
    <mergeCell ref="D1:E1"/>
    <mergeCell ref="A3:B3"/>
    <mergeCell ref="D3:E3"/>
    <mergeCell ref="I3:R3"/>
  </mergeCells>
  <printOptions verticalCentered="1"/>
  <pageMargins left="0.7" right="0.7" top="0.75" bottom="0.75" header="0.3" footer="0.3"/>
  <pageSetup paperSize="9" scale="92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workbookViewId="0">
      <selection activeCell="I14" sqref="I14"/>
    </sheetView>
  </sheetViews>
  <sheetFormatPr defaultColWidth="9" defaultRowHeight="13.15"/>
  <cols>
    <col min="1" max="1" width="7.28515625" customWidth="1"/>
    <col min="2" max="2" width="17.5703125" customWidth="1"/>
    <col min="4" max="4" width="11.5703125" customWidth="1"/>
    <col min="5" max="5" width="14" customWidth="1"/>
    <col min="6" max="6" width="18" customWidth="1"/>
    <col min="7" max="7" width="13.28515625" customWidth="1"/>
    <col min="8" max="8" width="12.85546875" customWidth="1"/>
    <col min="9" max="9" width="12.140625" customWidth="1"/>
  </cols>
  <sheetData>
    <row r="1" spans="1:9" ht="12.75" customHeight="1">
      <c r="A1" s="567" t="s">
        <v>237</v>
      </c>
      <c r="B1" s="539"/>
      <c r="C1" s="539"/>
      <c r="D1" s="539"/>
      <c r="E1" s="539"/>
      <c r="F1" s="539"/>
      <c r="G1" s="539"/>
      <c r="H1" s="539"/>
      <c r="I1" s="540"/>
    </row>
    <row r="2" spans="1:9" ht="13.5" customHeight="1">
      <c r="A2" s="541"/>
      <c r="B2" s="542"/>
      <c r="C2" s="542"/>
      <c r="D2" s="542"/>
      <c r="E2" s="542"/>
      <c r="F2" s="542"/>
      <c r="G2" s="542"/>
      <c r="H2" s="542"/>
      <c r="I2" s="543"/>
    </row>
    <row r="3" spans="1:9" ht="18.75">
      <c r="A3" s="49" t="s">
        <v>136</v>
      </c>
      <c r="B3" s="49" t="s">
        <v>238</v>
      </c>
      <c r="C3" s="49" t="s">
        <v>239</v>
      </c>
      <c r="D3" s="50" t="s">
        <v>240</v>
      </c>
      <c r="E3" s="51"/>
      <c r="F3" s="49" t="s">
        <v>241</v>
      </c>
      <c r="G3" s="49" t="s">
        <v>242</v>
      </c>
      <c r="H3" s="49" t="s">
        <v>243</v>
      </c>
      <c r="I3" s="72" t="s">
        <v>244</v>
      </c>
    </row>
    <row r="4" spans="1:9" ht="18.75">
      <c r="A4" s="52"/>
      <c r="B4" s="52"/>
      <c r="C4" s="52"/>
      <c r="D4" s="53" t="s">
        <v>82</v>
      </c>
      <c r="E4" s="53" t="s">
        <v>83</v>
      </c>
      <c r="F4" s="52"/>
      <c r="G4" s="52"/>
      <c r="H4" s="52"/>
      <c r="I4" s="73"/>
    </row>
    <row r="5" spans="1:9" ht="21">
      <c r="A5" s="54" t="s">
        <v>245</v>
      </c>
      <c r="B5" s="55" t="s">
        <v>166</v>
      </c>
      <c r="C5" s="56">
        <v>1000</v>
      </c>
      <c r="D5" s="56">
        <v>5.5</v>
      </c>
      <c r="E5" s="56">
        <v>12000</v>
      </c>
      <c r="F5" s="56">
        <f>SUM(C5,E5)</f>
        <v>13000</v>
      </c>
      <c r="G5" s="56"/>
      <c r="H5" s="57"/>
      <c r="I5" s="74">
        <f>F5-G5-H5</f>
        <v>13000</v>
      </c>
    </row>
    <row r="6" spans="1:9" ht="21">
      <c r="A6" s="54" t="s">
        <v>246</v>
      </c>
      <c r="B6" s="55" t="s">
        <v>247</v>
      </c>
      <c r="C6" s="56">
        <v>1000</v>
      </c>
      <c r="D6" s="56">
        <v>2</v>
      </c>
      <c r="E6" s="56">
        <v>4000</v>
      </c>
      <c r="F6" s="56">
        <f t="shared" ref="F6:F13" si="0">SUM(C6,E6)</f>
        <v>5000</v>
      </c>
      <c r="G6" s="58"/>
      <c r="H6" s="56"/>
      <c r="I6" s="74">
        <f t="shared" ref="I6:I8" si="1">F6-G6-H6</f>
        <v>5000</v>
      </c>
    </row>
    <row r="7" spans="1:9" ht="21">
      <c r="A7" s="54" t="s">
        <v>248</v>
      </c>
      <c r="B7" s="55" t="s">
        <v>166</v>
      </c>
      <c r="C7" s="56">
        <v>1000</v>
      </c>
      <c r="D7" s="56"/>
      <c r="E7" s="56"/>
      <c r="F7" s="56">
        <f t="shared" si="0"/>
        <v>1000</v>
      </c>
      <c r="G7" s="58"/>
      <c r="H7" s="56"/>
      <c r="I7" s="74">
        <f t="shared" si="1"/>
        <v>1000</v>
      </c>
    </row>
    <row r="8" spans="1:9" ht="21">
      <c r="A8" s="54" t="s">
        <v>249</v>
      </c>
      <c r="B8" s="55" t="s">
        <v>168</v>
      </c>
      <c r="C8" s="56">
        <v>1000</v>
      </c>
      <c r="D8" s="56">
        <v>4.5</v>
      </c>
      <c r="E8" s="56">
        <v>9000</v>
      </c>
      <c r="F8" s="56">
        <f t="shared" si="0"/>
        <v>10000</v>
      </c>
      <c r="G8" s="58"/>
      <c r="H8" s="56"/>
      <c r="I8" s="74">
        <f t="shared" si="1"/>
        <v>10000</v>
      </c>
    </row>
    <row r="9" spans="1:9" ht="21">
      <c r="A9" s="59" t="s">
        <v>250</v>
      </c>
      <c r="B9" s="60" t="s">
        <v>167</v>
      </c>
      <c r="C9" s="56">
        <v>1000</v>
      </c>
      <c r="D9" s="61">
        <v>11</v>
      </c>
      <c r="E9" s="56">
        <v>19500</v>
      </c>
      <c r="F9" s="56">
        <f t="shared" si="0"/>
        <v>20500</v>
      </c>
      <c r="G9" s="61"/>
      <c r="H9" s="56"/>
      <c r="I9" s="74">
        <f t="shared" ref="I9:I13" si="2">F9-G9-H9</f>
        <v>20500</v>
      </c>
    </row>
    <row r="10" spans="1:9" ht="21">
      <c r="A10" s="54" t="s">
        <v>251</v>
      </c>
      <c r="B10" s="55" t="s">
        <v>175</v>
      </c>
      <c r="C10" s="56">
        <v>1000</v>
      </c>
      <c r="D10" s="56"/>
      <c r="E10" s="56"/>
      <c r="F10" s="56">
        <f t="shared" si="0"/>
        <v>1000</v>
      </c>
      <c r="G10" s="56"/>
      <c r="H10" s="56"/>
      <c r="I10" s="74">
        <f t="shared" si="2"/>
        <v>1000</v>
      </c>
    </row>
    <row r="11" spans="1:9" ht="21">
      <c r="A11" s="54"/>
      <c r="B11" s="55"/>
      <c r="C11" s="56"/>
      <c r="D11" s="56"/>
      <c r="E11" s="56"/>
      <c r="F11" s="56">
        <f t="shared" si="0"/>
        <v>0</v>
      </c>
      <c r="G11" s="56"/>
      <c r="H11" s="56"/>
      <c r="I11" s="74">
        <f t="shared" si="2"/>
        <v>0</v>
      </c>
    </row>
    <row r="12" spans="1:9" ht="21">
      <c r="A12" s="62"/>
      <c r="B12" s="63"/>
      <c r="C12" s="64"/>
      <c r="D12" s="56"/>
      <c r="E12" s="56"/>
      <c r="F12" s="56">
        <f t="shared" si="0"/>
        <v>0</v>
      </c>
      <c r="G12" s="56"/>
      <c r="H12" s="56"/>
      <c r="I12" s="74">
        <f t="shared" si="2"/>
        <v>0</v>
      </c>
    </row>
    <row r="13" spans="1:9" ht="21">
      <c r="A13" s="65"/>
      <c r="B13" s="66"/>
      <c r="C13" s="67"/>
      <c r="D13" s="56"/>
      <c r="E13" s="56"/>
      <c r="F13" s="56">
        <f t="shared" si="0"/>
        <v>0</v>
      </c>
      <c r="G13" s="56"/>
      <c r="H13" s="68"/>
      <c r="I13" s="74">
        <f t="shared" si="2"/>
        <v>0</v>
      </c>
    </row>
    <row r="14" spans="1:9" ht="21.75">
      <c r="A14" s="69"/>
      <c r="B14" s="70"/>
      <c r="C14" s="71"/>
      <c r="D14" s="71"/>
      <c r="E14" s="71"/>
      <c r="F14" s="71">
        <f>SUM(F5:F13)</f>
        <v>50500</v>
      </c>
      <c r="G14" s="71"/>
      <c r="H14" s="71"/>
      <c r="I14" s="75">
        <f>SUM(I5:I13)</f>
        <v>50500</v>
      </c>
    </row>
    <row r="20" spans="7:7">
      <c r="G20" s="1" t="s">
        <v>252</v>
      </c>
    </row>
  </sheetData>
  <mergeCells count="1">
    <mergeCell ref="A1:I2"/>
  </mergeCells>
  <pageMargins left="0.70866141732283505" right="0.70866141732283505" top="0.74803149606299202" bottom="0.74803149606299202" header="0.31496062992126" footer="0.31496062992126"/>
  <pageSetup paperSize="9" scale="115" orientation="landscape"/>
  <ignoredErrors>
    <ignoredError sqref="F5:I13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>
    <tabColor indexed="13"/>
  </sheetPr>
  <dimension ref="A1:AI51"/>
  <sheetViews>
    <sheetView zoomScale="70" zoomScaleNormal="70" workbookViewId="0">
      <selection activeCell="K71" sqref="K71"/>
    </sheetView>
  </sheetViews>
  <sheetFormatPr defaultColWidth="5.42578125" defaultRowHeight="13.15"/>
  <cols>
    <col min="1" max="11" width="4.28515625" customWidth="1"/>
    <col min="12" max="12" width="2.85546875" customWidth="1"/>
    <col min="13" max="23" width="4.28515625" customWidth="1"/>
    <col min="24" max="24" width="2.85546875" customWidth="1"/>
    <col min="25" max="47" width="4.28515625" customWidth="1"/>
  </cols>
  <sheetData>
    <row r="1" spans="1:35" ht="11.25" customHeight="1">
      <c r="A1" s="38" t="s">
        <v>253</v>
      </c>
      <c r="C1" s="39"/>
      <c r="D1" s="39"/>
      <c r="E1" s="39"/>
      <c r="F1" s="39"/>
      <c r="K1" s="38" t="s">
        <v>254</v>
      </c>
      <c r="P1" s="39"/>
      <c r="Q1" s="39"/>
      <c r="R1" s="39"/>
      <c r="S1" s="39"/>
      <c r="T1" s="39"/>
      <c r="U1" s="39"/>
      <c r="V1" s="39"/>
      <c r="W1" s="39"/>
      <c r="X1" s="39"/>
      <c r="Y1" s="39"/>
      <c r="AI1" s="48" t="s">
        <v>255</v>
      </c>
    </row>
    <row r="2" spans="1:35" ht="10.5" customHeight="1"/>
    <row r="3" spans="1:35" ht="13.5" customHeight="1">
      <c r="A3" s="544" t="s">
        <v>256</v>
      </c>
      <c r="B3" s="544"/>
      <c r="C3" s="545" t="s">
        <v>257</v>
      </c>
      <c r="D3" s="545"/>
      <c r="E3" s="545"/>
      <c r="F3" s="545"/>
      <c r="G3" s="545"/>
      <c r="H3" s="546" t="s">
        <v>258</v>
      </c>
      <c r="I3" s="546"/>
      <c r="J3" s="546"/>
      <c r="K3" s="546"/>
      <c r="L3" s="43"/>
      <c r="M3" s="544" t="s">
        <v>256</v>
      </c>
      <c r="N3" s="544"/>
      <c r="O3" s="545" t="s">
        <v>257</v>
      </c>
      <c r="P3" s="545"/>
      <c r="Q3" s="545"/>
      <c r="R3" s="545"/>
      <c r="S3" s="545"/>
      <c r="T3" s="546" t="s">
        <v>258</v>
      </c>
      <c r="U3" s="546"/>
      <c r="V3" s="546"/>
      <c r="W3" s="546"/>
      <c r="X3" s="43"/>
      <c r="Y3" s="544" t="s">
        <v>256</v>
      </c>
      <c r="Z3" s="544"/>
      <c r="AA3" s="545" t="s">
        <v>257</v>
      </c>
      <c r="AB3" s="545"/>
      <c r="AC3" s="545"/>
      <c r="AD3" s="545"/>
      <c r="AE3" s="545"/>
      <c r="AF3" s="546" t="s">
        <v>258</v>
      </c>
      <c r="AG3" s="546"/>
      <c r="AH3" s="546"/>
      <c r="AI3" s="546"/>
    </row>
    <row r="4" spans="1:35" ht="13.5" customHeight="1">
      <c r="A4" s="544"/>
      <c r="B4" s="544"/>
      <c r="C4" s="545"/>
      <c r="D4" s="545"/>
      <c r="E4" s="545"/>
      <c r="F4" s="545"/>
      <c r="G4" s="545"/>
      <c r="H4" s="546"/>
      <c r="I4" s="546"/>
      <c r="J4" s="546"/>
      <c r="K4" s="546"/>
      <c r="L4" s="43"/>
      <c r="M4" s="544"/>
      <c r="N4" s="544"/>
      <c r="O4" s="545"/>
      <c r="P4" s="545"/>
      <c r="Q4" s="545"/>
      <c r="R4" s="545"/>
      <c r="S4" s="545"/>
      <c r="T4" s="546"/>
      <c r="U4" s="546"/>
      <c r="V4" s="546"/>
      <c r="W4" s="546"/>
      <c r="X4" s="43"/>
      <c r="Y4" s="544"/>
      <c r="Z4" s="544"/>
      <c r="AA4" s="545"/>
      <c r="AB4" s="545"/>
      <c r="AC4" s="545"/>
      <c r="AD4" s="545"/>
      <c r="AE4" s="545"/>
      <c r="AF4" s="546"/>
      <c r="AG4" s="546"/>
      <c r="AH4" s="546"/>
      <c r="AI4" s="546"/>
    </row>
    <row r="5" spans="1:35" ht="11.25" customHeight="1">
      <c r="A5" s="544"/>
      <c r="B5" s="544"/>
      <c r="C5" s="545"/>
      <c r="D5" s="545"/>
      <c r="E5" s="545"/>
      <c r="F5" s="545"/>
      <c r="G5" s="545"/>
      <c r="H5" s="546"/>
      <c r="I5" s="546"/>
      <c r="J5" s="546"/>
      <c r="K5" s="546"/>
      <c r="L5" s="44"/>
      <c r="M5" s="544"/>
      <c r="N5" s="544"/>
      <c r="O5" s="545"/>
      <c r="P5" s="545"/>
      <c r="Q5" s="545"/>
      <c r="R5" s="545"/>
      <c r="S5" s="545"/>
      <c r="T5" s="546"/>
      <c r="U5" s="546"/>
      <c r="V5" s="546"/>
      <c r="W5" s="546"/>
      <c r="Y5" s="544"/>
      <c r="Z5" s="544"/>
      <c r="AA5" s="545"/>
      <c r="AB5" s="545"/>
      <c r="AC5" s="545"/>
      <c r="AD5" s="545"/>
      <c r="AE5" s="545"/>
      <c r="AF5" s="546"/>
      <c r="AG5" s="546"/>
      <c r="AH5" s="546"/>
      <c r="AI5" s="546"/>
    </row>
    <row r="6" spans="1:35" ht="11.25" customHeight="1">
      <c r="A6" s="544"/>
      <c r="B6" s="544"/>
      <c r="C6" s="545"/>
      <c r="D6" s="545"/>
      <c r="E6" s="545"/>
      <c r="F6" s="545"/>
      <c r="G6" s="545"/>
      <c r="H6" s="546"/>
      <c r="I6" s="546"/>
      <c r="J6" s="546"/>
      <c r="K6" s="546"/>
      <c r="L6" s="44"/>
      <c r="M6" s="544"/>
      <c r="N6" s="544"/>
      <c r="O6" s="545"/>
      <c r="P6" s="545"/>
      <c r="Q6" s="545"/>
      <c r="R6" s="545"/>
      <c r="S6" s="545"/>
      <c r="T6" s="546"/>
      <c r="U6" s="546"/>
      <c r="V6" s="546"/>
      <c r="W6" s="546"/>
      <c r="Y6" s="544"/>
      <c r="Z6" s="544"/>
      <c r="AA6" s="545"/>
      <c r="AB6" s="545"/>
      <c r="AC6" s="545"/>
      <c r="AD6" s="545"/>
      <c r="AE6" s="545"/>
      <c r="AF6" s="546"/>
      <c r="AG6" s="546"/>
      <c r="AH6" s="546"/>
      <c r="AI6" s="546"/>
    </row>
    <row r="7" spans="1:35" ht="11.25" customHeight="1">
      <c r="A7" s="544"/>
      <c r="B7" s="544"/>
      <c r="C7" s="545"/>
      <c r="D7" s="545"/>
      <c r="E7" s="545"/>
      <c r="F7" s="545"/>
      <c r="G7" s="545"/>
      <c r="H7" s="546"/>
      <c r="I7" s="546"/>
      <c r="J7" s="546"/>
      <c r="K7" s="546"/>
      <c r="L7" s="44"/>
      <c r="M7" s="544"/>
      <c r="N7" s="544"/>
      <c r="O7" s="545"/>
      <c r="P7" s="545"/>
      <c r="Q7" s="545"/>
      <c r="R7" s="545"/>
      <c r="S7" s="545"/>
      <c r="T7" s="546"/>
      <c r="U7" s="546"/>
      <c r="V7" s="546"/>
      <c r="W7" s="546"/>
      <c r="Y7" s="544"/>
      <c r="Z7" s="544"/>
      <c r="AA7" s="545"/>
      <c r="AB7" s="545"/>
      <c r="AC7" s="545"/>
      <c r="AD7" s="545"/>
      <c r="AE7" s="545"/>
      <c r="AF7" s="546"/>
      <c r="AG7" s="546"/>
      <c r="AH7" s="546"/>
      <c r="AI7" s="546"/>
    </row>
    <row r="8" spans="1:35" ht="11.25" customHeight="1">
      <c r="A8" s="544"/>
      <c r="B8" s="544"/>
      <c r="C8" s="545"/>
      <c r="D8" s="545"/>
      <c r="E8" s="545"/>
      <c r="F8" s="545"/>
      <c r="G8" s="545"/>
      <c r="H8" s="546"/>
      <c r="I8" s="546"/>
      <c r="J8" s="546"/>
      <c r="K8" s="546"/>
      <c r="L8" s="44"/>
      <c r="M8" s="544"/>
      <c r="N8" s="544"/>
      <c r="O8" s="545"/>
      <c r="P8" s="545"/>
      <c r="Q8" s="545"/>
      <c r="R8" s="545"/>
      <c r="S8" s="545"/>
      <c r="T8" s="546"/>
      <c r="U8" s="546"/>
      <c r="V8" s="546"/>
      <c r="W8" s="546"/>
      <c r="Y8" s="544"/>
      <c r="Z8" s="544"/>
      <c r="AA8" s="545"/>
      <c r="AB8" s="545"/>
      <c r="AC8" s="545"/>
      <c r="AD8" s="545"/>
      <c r="AE8" s="545"/>
      <c r="AF8" s="546"/>
      <c r="AG8" s="546"/>
      <c r="AH8" s="546"/>
      <c r="AI8" s="546"/>
    </row>
    <row r="9" spans="1:35" ht="11.25" customHeight="1">
      <c r="A9" s="544"/>
      <c r="B9" s="544"/>
      <c r="C9" s="545"/>
      <c r="D9" s="545"/>
      <c r="E9" s="545"/>
      <c r="F9" s="545"/>
      <c r="G9" s="545"/>
      <c r="H9" s="546"/>
      <c r="I9" s="546"/>
      <c r="J9" s="546"/>
      <c r="K9" s="546"/>
      <c r="L9" s="44"/>
      <c r="M9" s="544"/>
      <c r="N9" s="544"/>
      <c r="O9" s="545"/>
      <c r="P9" s="545"/>
      <c r="Q9" s="545"/>
      <c r="R9" s="545"/>
      <c r="S9" s="545"/>
      <c r="T9" s="546"/>
      <c r="U9" s="546"/>
      <c r="V9" s="546"/>
      <c r="W9" s="546"/>
      <c r="Y9" s="544"/>
      <c r="Z9" s="544"/>
      <c r="AA9" s="545"/>
      <c r="AB9" s="545"/>
      <c r="AC9" s="545"/>
      <c r="AD9" s="545"/>
      <c r="AE9" s="545"/>
      <c r="AF9" s="546"/>
      <c r="AG9" s="546"/>
      <c r="AH9" s="546"/>
      <c r="AI9" s="546"/>
    </row>
    <row r="10" spans="1:35" ht="11.25" customHeight="1">
      <c r="A10" s="544"/>
      <c r="B10" s="544"/>
      <c r="C10" s="545"/>
      <c r="D10" s="545"/>
      <c r="E10" s="545"/>
      <c r="F10" s="545"/>
      <c r="G10" s="545"/>
      <c r="H10" s="546"/>
      <c r="I10" s="546"/>
      <c r="J10" s="546"/>
      <c r="K10" s="546"/>
      <c r="L10" s="44"/>
      <c r="M10" s="544"/>
      <c r="N10" s="544"/>
      <c r="O10" s="545"/>
      <c r="P10" s="545"/>
      <c r="Q10" s="545"/>
      <c r="R10" s="545"/>
      <c r="S10" s="545"/>
      <c r="T10" s="546"/>
      <c r="U10" s="546"/>
      <c r="V10" s="546"/>
      <c r="W10" s="546"/>
      <c r="Y10" s="544"/>
      <c r="Z10" s="544"/>
      <c r="AA10" s="545"/>
      <c r="AB10" s="545"/>
      <c r="AC10" s="545"/>
      <c r="AD10" s="545"/>
      <c r="AE10" s="545"/>
      <c r="AF10" s="546"/>
      <c r="AG10" s="546"/>
      <c r="AH10" s="546"/>
      <c r="AI10" s="546"/>
    </row>
    <row r="11" spans="1:35" ht="11.25" customHeight="1">
      <c r="A11" s="544"/>
      <c r="B11" s="544"/>
      <c r="C11" s="545"/>
      <c r="D11" s="545"/>
      <c r="E11" s="545"/>
      <c r="F11" s="545"/>
      <c r="G11" s="545"/>
      <c r="H11" s="546"/>
      <c r="I11" s="546"/>
      <c r="J11" s="546"/>
      <c r="K11" s="546"/>
      <c r="M11" s="544"/>
      <c r="N11" s="544"/>
      <c r="O11" s="545"/>
      <c r="P11" s="545"/>
      <c r="Q11" s="545"/>
      <c r="R11" s="545"/>
      <c r="S11" s="545"/>
      <c r="T11" s="546"/>
      <c r="U11" s="546"/>
      <c r="V11" s="546"/>
      <c r="W11" s="546"/>
      <c r="Y11" s="544"/>
      <c r="Z11" s="544"/>
      <c r="AA11" s="545"/>
      <c r="AB11" s="545"/>
      <c r="AC11" s="545"/>
      <c r="AD11" s="545"/>
      <c r="AE11" s="545"/>
      <c r="AF11" s="546"/>
      <c r="AG11" s="546"/>
      <c r="AH11" s="546"/>
      <c r="AI11" s="546"/>
    </row>
    <row r="12" spans="1:35" ht="11.25" customHeight="1">
      <c r="A12" s="544"/>
      <c r="B12" s="544"/>
      <c r="C12" s="545"/>
      <c r="D12" s="545"/>
      <c r="E12" s="545"/>
      <c r="F12" s="545"/>
      <c r="G12" s="545"/>
      <c r="H12" s="546"/>
      <c r="I12" s="546"/>
      <c r="J12" s="546"/>
      <c r="K12" s="546"/>
      <c r="M12" s="544"/>
      <c r="N12" s="544"/>
      <c r="O12" s="545"/>
      <c r="P12" s="545"/>
      <c r="Q12" s="545"/>
      <c r="R12" s="545"/>
      <c r="S12" s="545"/>
      <c r="T12" s="546"/>
      <c r="U12" s="546"/>
      <c r="V12" s="546"/>
      <c r="W12" s="546"/>
      <c r="Y12" s="544"/>
      <c r="Z12" s="544"/>
      <c r="AA12" s="545"/>
      <c r="AB12" s="545"/>
      <c r="AC12" s="545"/>
      <c r="AD12" s="545"/>
      <c r="AE12" s="545"/>
      <c r="AF12" s="546"/>
      <c r="AG12" s="546"/>
      <c r="AH12" s="546"/>
      <c r="AI12" s="546"/>
    </row>
    <row r="13" spans="1:35" ht="11.25" customHeight="1">
      <c r="A13" s="544"/>
      <c r="B13" s="544"/>
      <c r="C13" s="545"/>
      <c r="D13" s="545"/>
      <c r="E13" s="545"/>
      <c r="F13" s="545"/>
      <c r="G13" s="545"/>
      <c r="H13" s="546"/>
      <c r="I13" s="546"/>
      <c r="J13" s="546"/>
      <c r="K13" s="546"/>
      <c r="M13" s="544"/>
      <c r="N13" s="544"/>
      <c r="O13" s="545"/>
      <c r="P13" s="545"/>
      <c r="Q13" s="545"/>
      <c r="R13" s="545"/>
      <c r="S13" s="545"/>
      <c r="T13" s="546"/>
      <c r="U13" s="546"/>
      <c r="V13" s="546"/>
      <c r="W13" s="546"/>
      <c r="Y13" s="544"/>
      <c r="Z13" s="544"/>
      <c r="AA13" s="545"/>
      <c r="AB13" s="545"/>
      <c r="AC13" s="545"/>
      <c r="AD13" s="545"/>
      <c r="AE13" s="545"/>
      <c r="AF13" s="546"/>
      <c r="AG13" s="546"/>
      <c r="AH13" s="546"/>
      <c r="AI13" s="546"/>
    </row>
    <row r="14" spans="1:35" ht="11.25" customHeight="1">
      <c r="A14" s="544"/>
      <c r="B14" s="544"/>
      <c r="C14" s="545"/>
      <c r="D14" s="545"/>
      <c r="E14" s="545"/>
      <c r="F14" s="545"/>
      <c r="G14" s="545"/>
      <c r="H14" s="546"/>
      <c r="I14" s="546"/>
      <c r="J14" s="546"/>
      <c r="K14" s="546"/>
      <c r="M14" s="544"/>
      <c r="N14" s="544"/>
      <c r="O14" s="545"/>
      <c r="P14" s="545"/>
      <c r="Q14" s="545"/>
      <c r="R14" s="545"/>
      <c r="S14" s="545"/>
      <c r="T14" s="546"/>
      <c r="U14" s="546"/>
      <c r="V14" s="546"/>
      <c r="W14" s="546"/>
      <c r="Y14" s="544"/>
      <c r="Z14" s="544"/>
      <c r="AA14" s="545"/>
      <c r="AB14" s="545"/>
      <c r="AC14" s="545"/>
      <c r="AD14" s="545"/>
      <c r="AE14" s="545"/>
      <c r="AF14" s="546"/>
      <c r="AG14" s="546"/>
      <c r="AH14" s="546"/>
      <c r="AI14" s="546"/>
    </row>
    <row r="15" spans="1:35" ht="11.25" customHeight="1">
      <c r="A15" s="544"/>
      <c r="B15" s="544"/>
      <c r="C15" s="545"/>
      <c r="D15" s="545"/>
      <c r="E15" s="545"/>
      <c r="F15" s="545"/>
      <c r="G15" s="545"/>
      <c r="H15" s="546"/>
      <c r="I15" s="546"/>
      <c r="J15" s="546"/>
      <c r="K15" s="546"/>
      <c r="M15" s="544"/>
      <c r="N15" s="544"/>
      <c r="O15" s="545"/>
      <c r="P15" s="545"/>
      <c r="Q15" s="545"/>
      <c r="R15" s="545"/>
      <c r="S15" s="545"/>
      <c r="T15" s="546"/>
      <c r="U15" s="546"/>
      <c r="V15" s="546"/>
      <c r="W15" s="546"/>
      <c r="Y15" s="544"/>
      <c r="Z15" s="544"/>
      <c r="AA15" s="545"/>
      <c r="AB15" s="545"/>
      <c r="AC15" s="545"/>
      <c r="AD15" s="545"/>
      <c r="AE15" s="545"/>
      <c r="AF15" s="546"/>
      <c r="AG15" s="546"/>
      <c r="AH15" s="546"/>
      <c r="AI15" s="546"/>
    </row>
    <row r="16" spans="1:35" ht="11.25" customHeight="1">
      <c r="A16" s="544"/>
      <c r="B16" s="544"/>
      <c r="C16" s="545"/>
      <c r="D16" s="545"/>
      <c r="E16" s="545"/>
      <c r="F16" s="545"/>
      <c r="G16" s="545"/>
      <c r="H16" s="546"/>
      <c r="I16" s="546"/>
      <c r="J16" s="546"/>
      <c r="K16" s="546"/>
      <c r="M16" s="544"/>
      <c r="N16" s="544"/>
      <c r="O16" s="545"/>
      <c r="P16" s="545"/>
      <c r="Q16" s="545"/>
      <c r="R16" s="545"/>
      <c r="S16" s="545"/>
      <c r="T16" s="546"/>
      <c r="U16" s="546"/>
      <c r="V16" s="546"/>
      <c r="W16" s="546"/>
      <c r="Y16" s="544"/>
      <c r="Z16" s="544"/>
      <c r="AA16" s="545"/>
      <c r="AB16" s="545"/>
      <c r="AC16" s="545"/>
      <c r="AD16" s="545"/>
      <c r="AE16" s="545"/>
      <c r="AF16" s="546"/>
      <c r="AG16" s="546"/>
      <c r="AH16" s="546"/>
      <c r="AI16" s="546"/>
    </row>
    <row r="17" spans="1:35" ht="11.25" customHeight="1">
      <c r="A17" s="544"/>
      <c r="B17" s="544"/>
      <c r="C17" s="545"/>
      <c r="D17" s="545"/>
      <c r="E17" s="545"/>
      <c r="F17" s="545"/>
      <c r="G17" s="545"/>
      <c r="H17" s="546"/>
      <c r="I17" s="546"/>
      <c r="J17" s="546"/>
      <c r="K17" s="546"/>
      <c r="M17" s="544"/>
      <c r="N17" s="544"/>
      <c r="O17" s="545"/>
      <c r="P17" s="545"/>
      <c r="Q17" s="545"/>
      <c r="R17" s="545"/>
      <c r="S17" s="545"/>
      <c r="T17" s="546"/>
      <c r="U17" s="546"/>
      <c r="V17" s="546"/>
      <c r="W17" s="546"/>
      <c r="Y17" s="544"/>
      <c r="Z17" s="544"/>
      <c r="AA17" s="545"/>
      <c r="AB17" s="545"/>
      <c r="AC17" s="545"/>
      <c r="AD17" s="545"/>
      <c r="AE17" s="545"/>
      <c r="AF17" s="546"/>
      <c r="AG17" s="546"/>
      <c r="AH17" s="546"/>
      <c r="AI17" s="546"/>
    </row>
    <row r="18" spans="1:35" ht="11.25" customHeight="1">
      <c r="A18" s="544"/>
      <c r="B18" s="544"/>
      <c r="C18" s="545"/>
      <c r="D18" s="545"/>
      <c r="E18" s="545"/>
      <c r="F18" s="545"/>
      <c r="G18" s="545"/>
      <c r="H18" s="546"/>
      <c r="I18" s="546"/>
      <c r="J18" s="546"/>
      <c r="K18" s="546"/>
      <c r="M18" s="544"/>
      <c r="N18" s="544"/>
      <c r="O18" s="545"/>
      <c r="P18" s="545"/>
      <c r="Q18" s="545"/>
      <c r="R18" s="545"/>
      <c r="S18" s="545"/>
      <c r="T18" s="546"/>
      <c r="U18" s="546"/>
      <c r="V18" s="546"/>
      <c r="W18" s="546"/>
      <c r="Y18" s="544"/>
      <c r="Z18" s="544"/>
      <c r="AA18" s="545"/>
      <c r="AB18" s="545"/>
      <c r="AC18" s="545"/>
      <c r="AD18" s="545"/>
      <c r="AE18" s="545"/>
      <c r="AF18" s="546"/>
      <c r="AG18" s="546"/>
      <c r="AH18" s="546"/>
      <c r="AI18" s="546"/>
    </row>
    <row r="19" spans="1:35" ht="11.25" customHeight="1">
      <c r="A19" s="544"/>
      <c r="B19" s="544"/>
      <c r="C19" s="545"/>
      <c r="D19" s="545"/>
      <c r="E19" s="545"/>
      <c r="F19" s="545"/>
      <c r="G19" s="545"/>
      <c r="H19" s="546"/>
      <c r="I19" s="546"/>
      <c r="J19" s="546"/>
      <c r="K19" s="546"/>
      <c r="M19" s="544"/>
      <c r="N19" s="544"/>
      <c r="O19" s="545"/>
      <c r="P19" s="545"/>
      <c r="Q19" s="545"/>
      <c r="R19" s="545"/>
      <c r="S19" s="545"/>
      <c r="T19" s="546"/>
      <c r="U19" s="546"/>
      <c r="V19" s="546"/>
      <c r="W19" s="546"/>
      <c r="Y19" s="544"/>
      <c r="Z19" s="544"/>
      <c r="AA19" s="545"/>
      <c r="AB19" s="545"/>
      <c r="AC19" s="545"/>
      <c r="AD19" s="545"/>
      <c r="AE19" s="545"/>
      <c r="AF19" s="546"/>
      <c r="AG19" s="546"/>
      <c r="AH19" s="546"/>
      <c r="AI19" s="546"/>
    </row>
    <row r="20" spans="1:35" ht="11.25" customHeight="1">
      <c r="A20" s="544"/>
      <c r="B20" s="544"/>
      <c r="C20" s="545"/>
      <c r="D20" s="545"/>
      <c r="E20" s="545"/>
      <c r="F20" s="545"/>
      <c r="G20" s="545"/>
      <c r="H20" s="546"/>
      <c r="I20" s="546"/>
      <c r="J20" s="546"/>
      <c r="K20" s="546"/>
      <c r="M20" s="544"/>
      <c r="N20" s="544"/>
      <c r="O20" s="545"/>
      <c r="P20" s="545"/>
      <c r="Q20" s="545"/>
      <c r="R20" s="545"/>
      <c r="S20" s="545"/>
      <c r="T20" s="546"/>
      <c r="U20" s="546"/>
      <c r="V20" s="546"/>
      <c r="W20" s="546"/>
      <c r="Y20" s="544"/>
      <c r="Z20" s="544"/>
      <c r="AA20" s="545"/>
      <c r="AB20" s="545"/>
      <c r="AC20" s="545"/>
      <c r="AD20" s="545"/>
      <c r="AE20" s="545"/>
      <c r="AF20" s="546"/>
      <c r="AG20" s="546"/>
      <c r="AH20" s="546"/>
      <c r="AI20" s="546"/>
    </row>
    <row r="21" spans="1:35" ht="11.25" customHeight="1">
      <c r="A21" s="544"/>
      <c r="B21" s="544"/>
      <c r="C21" s="545"/>
      <c r="D21" s="545"/>
      <c r="E21" s="545"/>
      <c r="F21" s="545"/>
      <c r="G21" s="545"/>
      <c r="H21" s="546"/>
      <c r="I21" s="546"/>
      <c r="J21" s="546"/>
      <c r="K21" s="546"/>
      <c r="M21" s="544"/>
      <c r="N21" s="544"/>
      <c r="O21" s="545"/>
      <c r="P21" s="545"/>
      <c r="Q21" s="545"/>
      <c r="R21" s="545"/>
      <c r="S21" s="545"/>
      <c r="T21" s="546"/>
      <c r="U21" s="546"/>
      <c r="V21" s="546"/>
      <c r="W21" s="546"/>
      <c r="Y21" s="544"/>
      <c r="Z21" s="544"/>
      <c r="AA21" s="545"/>
      <c r="AB21" s="545"/>
      <c r="AC21" s="545"/>
      <c r="AD21" s="545"/>
      <c r="AE21" s="545"/>
      <c r="AF21" s="546"/>
      <c r="AG21" s="546"/>
      <c r="AH21" s="546"/>
      <c r="AI21" s="546"/>
    </row>
    <row r="22" spans="1:35" ht="11.25" customHeight="1">
      <c r="A22" s="544"/>
      <c r="B22" s="544"/>
      <c r="C22" s="545"/>
      <c r="D22" s="545"/>
      <c r="E22" s="545"/>
      <c r="F22" s="545"/>
      <c r="G22" s="545"/>
      <c r="H22" s="546"/>
      <c r="I22" s="546"/>
      <c r="J22" s="546"/>
      <c r="K22" s="546"/>
      <c r="M22" s="544"/>
      <c r="N22" s="544"/>
      <c r="O22" s="545"/>
      <c r="P22" s="545"/>
      <c r="Q22" s="545"/>
      <c r="R22" s="545"/>
      <c r="S22" s="545"/>
      <c r="T22" s="546"/>
      <c r="U22" s="546"/>
      <c r="V22" s="546"/>
      <c r="W22" s="546"/>
      <c r="Y22" s="544"/>
      <c r="Z22" s="544"/>
      <c r="AA22" s="545"/>
      <c r="AB22" s="545"/>
      <c r="AC22" s="545"/>
      <c r="AD22" s="545"/>
      <c r="AE22" s="545"/>
      <c r="AF22" s="546"/>
      <c r="AG22" s="546"/>
      <c r="AH22" s="546"/>
      <c r="AI22" s="546"/>
    </row>
    <row r="23" spans="1:35" ht="11.25" customHeight="1">
      <c r="A23" s="544"/>
      <c r="B23" s="544"/>
      <c r="C23" s="545"/>
      <c r="D23" s="545"/>
      <c r="E23" s="545"/>
      <c r="F23" s="545"/>
      <c r="G23" s="545"/>
      <c r="H23" s="546"/>
      <c r="I23" s="546"/>
      <c r="J23" s="546"/>
      <c r="K23" s="546"/>
      <c r="M23" s="544"/>
      <c r="N23" s="544"/>
      <c r="O23" s="545"/>
      <c r="P23" s="545"/>
      <c r="Q23" s="545"/>
      <c r="R23" s="545"/>
      <c r="S23" s="545"/>
      <c r="T23" s="546"/>
      <c r="U23" s="546"/>
      <c r="V23" s="546"/>
      <c r="W23" s="546"/>
      <c r="Y23" s="544"/>
      <c r="Z23" s="544"/>
      <c r="AA23" s="545"/>
      <c r="AB23" s="545"/>
      <c r="AC23" s="545"/>
      <c r="AD23" s="545"/>
      <c r="AE23" s="545"/>
      <c r="AF23" s="546"/>
      <c r="AG23" s="546"/>
      <c r="AH23" s="546"/>
      <c r="AI23" s="546"/>
    </row>
    <row r="24" spans="1:35" ht="11.25" customHeight="1">
      <c r="A24" s="544"/>
      <c r="B24" s="544"/>
      <c r="C24" s="545"/>
      <c r="D24" s="545"/>
      <c r="E24" s="545"/>
      <c r="F24" s="545"/>
      <c r="G24" s="545"/>
      <c r="H24" s="546"/>
      <c r="I24" s="546"/>
      <c r="J24" s="546"/>
      <c r="K24" s="546"/>
      <c r="M24" s="544"/>
      <c r="N24" s="544"/>
      <c r="O24" s="545"/>
      <c r="P24" s="545"/>
      <c r="Q24" s="545"/>
      <c r="R24" s="545"/>
      <c r="S24" s="545"/>
      <c r="T24" s="546"/>
      <c r="U24" s="546"/>
      <c r="V24" s="546"/>
      <c r="W24" s="546"/>
      <c r="Y24" s="544"/>
      <c r="Z24" s="544"/>
      <c r="AA24" s="545"/>
      <c r="AB24" s="545"/>
      <c r="AC24" s="545"/>
      <c r="AD24" s="545"/>
      <c r="AE24" s="545"/>
      <c r="AF24" s="546"/>
      <c r="AG24" s="546"/>
      <c r="AH24" s="546"/>
      <c r="AI24" s="546"/>
    </row>
    <row r="25" spans="1:35" ht="11.25" customHeight="1">
      <c r="A25" s="544"/>
      <c r="B25" s="544"/>
      <c r="C25" s="545"/>
      <c r="D25" s="545"/>
      <c r="E25" s="545"/>
      <c r="F25" s="545"/>
      <c r="G25" s="545"/>
      <c r="H25" s="546"/>
      <c r="I25" s="546"/>
      <c r="J25" s="546"/>
      <c r="K25" s="546"/>
      <c r="M25" s="544"/>
      <c r="N25" s="544"/>
      <c r="O25" s="545"/>
      <c r="P25" s="545"/>
      <c r="Q25" s="545"/>
      <c r="R25" s="545"/>
      <c r="S25" s="545"/>
      <c r="T25" s="546"/>
      <c r="U25" s="546"/>
      <c r="V25" s="546"/>
      <c r="W25" s="546"/>
      <c r="Y25" s="544"/>
      <c r="Z25" s="544"/>
      <c r="AA25" s="545"/>
      <c r="AB25" s="545"/>
      <c r="AC25" s="545"/>
      <c r="AD25" s="545"/>
      <c r="AE25" s="545"/>
      <c r="AF25" s="546"/>
      <c r="AG25" s="546"/>
      <c r="AH25" s="546"/>
      <c r="AI25" s="546"/>
    </row>
    <row r="26" spans="1:35" ht="11.25" customHeight="1">
      <c r="A26" s="544"/>
      <c r="B26" s="544"/>
      <c r="C26" s="545"/>
      <c r="D26" s="545"/>
      <c r="E26" s="545"/>
      <c r="F26" s="545"/>
      <c r="G26" s="545"/>
      <c r="H26" s="546"/>
      <c r="I26" s="546"/>
      <c r="J26" s="546"/>
      <c r="K26" s="546"/>
      <c r="M26" s="544"/>
      <c r="N26" s="544"/>
      <c r="O26" s="545"/>
      <c r="P26" s="545"/>
      <c r="Q26" s="545"/>
      <c r="R26" s="545"/>
      <c r="S26" s="545"/>
      <c r="T26" s="546"/>
      <c r="U26" s="546"/>
      <c r="V26" s="546"/>
      <c r="W26" s="546"/>
      <c r="Y26" s="544"/>
      <c r="Z26" s="544"/>
      <c r="AA26" s="545"/>
      <c r="AB26" s="545"/>
      <c r="AC26" s="545"/>
      <c r="AD26" s="545"/>
      <c r="AE26" s="545"/>
      <c r="AF26" s="546"/>
      <c r="AG26" s="546"/>
      <c r="AH26" s="546"/>
      <c r="AI26" s="546"/>
    </row>
    <row r="27" spans="1:35" ht="11.25" customHeight="1">
      <c r="A27" s="544"/>
      <c r="B27" s="544"/>
      <c r="C27" s="545"/>
      <c r="D27" s="545"/>
      <c r="E27" s="545"/>
      <c r="F27" s="545"/>
      <c r="G27" s="545"/>
      <c r="H27" s="546"/>
      <c r="I27" s="546"/>
      <c r="J27" s="546"/>
      <c r="K27" s="546"/>
      <c r="M27" s="544"/>
      <c r="N27" s="544"/>
      <c r="O27" s="545"/>
      <c r="P27" s="545"/>
      <c r="Q27" s="545"/>
      <c r="R27" s="545"/>
      <c r="S27" s="545"/>
      <c r="T27" s="546"/>
      <c r="U27" s="546"/>
      <c r="V27" s="546"/>
      <c r="W27" s="546"/>
      <c r="Y27" s="544"/>
      <c r="Z27" s="544"/>
      <c r="AA27" s="545"/>
      <c r="AB27" s="545"/>
      <c r="AC27" s="545"/>
      <c r="AD27" s="545"/>
      <c r="AE27" s="545"/>
      <c r="AF27" s="546"/>
      <c r="AG27" s="546"/>
      <c r="AH27" s="546"/>
      <c r="AI27" s="546"/>
    </row>
    <row r="28" spans="1:35" ht="11.25" customHeight="1">
      <c r="A28" s="544"/>
      <c r="B28" s="544"/>
      <c r="C28" s="545"/>
      <c r="D28" s="545"/>
      <c r="E28" s="545"/>
      <c r="F28" s="545"/>
      <c r="G28" s="545"/>
      <c r="H28" s="546"/>
      <c r="I28" s="546"/>
      <c r="J28" s="546"/>
      <c r="K28" s="546"/>
      <c r="M28" s="544"/>
      <c r="N28" s="544"/>
      <c r="O28" s="545"/>
      <c r="P28" s="545"/>
      <c r="Q28" s="545"/>
      <c r="R28" s="545"/>
      <c r="S28" s="545"/>
      <c r="T28" s="546"/>
      <c r="U28" s="546"/>
      <c r="V28" s="546"/>
      <c r="W28" s="546"/>
      <c r="Y28" s="544"/>
      <c r="Z28" s="544"/>
      <c r="AA28" s="545"/>
      <c r="AB28" s="545"/>
      <c r="AC28" s="545"/>
      <c r="AD28" s="545"/>
      <c r="AE28" s="545"/>
      <c r="AF28" s="546"/>
      <c r="AG28" s="546"/>
      <c r="AH28" s="546"/>
      <c r="AI28" s="546"/>
    </row>
    <row r="29" spans="1:35" ht="11.25" customHeight="1">
      <c r="A29" s="544"/>
      <c r="B29" s="544"/>
      <c r="C29" s="545"/>
      <c r="D29" s="545"/>
      <c r="E29" s="545"/>
      <c r="F29" s="545"/>
      <c r="G29" s="545"/>
      <c r="H29" s="546"/>
      <c r="I29" s="546"/>
      <c r="J29" s="546"/>
      <c r="K29" s="546"/>
      <c r="M29" s="544"/>
      <c r="N29" s="544"/>
      <c r="O29" s="545"/>
      <c r="P29" s="545"/>
      <c r="Q29" s="545"/>
      <c r="R29" s="545"/>
      <c r="S29" s="545"/>
      <c r="T29" s="546"/>
      <c r="U29" s="546"/>
      <c r="V29" s="546"/>
      <c r="W29" s="546"/>
      <c r="Y29" s="544"/>
      <c r="Z29" s="544"/>
      <c r="AA29" s="545"/>
      <c r="AB29" s="545"/>
      <c r="AC29" s="545"/>
      <c r="AD29" s="545"/>
      <c r="AE29" s="545"/>
      <c r="AF29" s="546"/>
      <c r="AG29" s="546"/>
      <c r="AH29" s="546"/>
      <c r="AI29" s="546"/>
    </row>
    <row r="30" spans="1:35" ht="11.25" customHeight="1">
      <c r="A30" s="544"/>
      <c r="B30" s="544"/>
      <c r="C30" s="545"/>
      <c r="D30" s="545"/>
      <c r="E30" s="545"/>
      <c r="F30" s="545"/>
      <c r="G30" s="545"/>
      <c r="H30" s="546"/>
      <c r="I30" s="546"/>
      <c r="J30" s="546"/>
      <c r="K30" s="546"/>
      <c r="M30" s="544"/>
      <c r="N30" s="544"/>
      <c r="O30" s="545"/>
      <c r="P30" s="545"/>
      <c r="Q30" s="545"/>
      <c r="R30" s="545"/>
      <c r="S30" s="545"/>
      <c r="T30" s="546"/>
      <c r="U30" s="546"/>
      <c r="V30" s="546"/>
      <c r="W30" s="546"/>
      <c r="Y30" s="544"/>
      <c r="Z30" s="544"/>
      <c r="AA30" s="545"/>
      <c r="AB30" s="545"/>
      <c r="AC30" s="545"/>
      <c r="AD30" s="545"/>
      <c r="AE30" s="545"/>
      <c r="AF30" s="546"/>
      <c r="AG30" s="546"/>
      <c r="AH30" s="546"/>
      <c r="AI30" s="546"/>
    </row>
    <row r="31" spans="1:35" ht="11.25" customHeight="1">
      <c r="A31" s="544"/>
      <c r="B31" s="544"/>
      <c r="C31" s="545"/>
      <c r="D31" s="545"/>
      <c r="E31" s="545"/>
      <c r="F31" s="545"/>
      <c r="G31" s="545"/>
      <c r="H31" s="546"/>
      <c r="I31" s="546"/>
      <c r="J31" s="546"/>
      <c r="K31" s="546"/>
      <c r="M31" s="544"/>
      <c r="N31" s="544"/>
      <c r="O31" s="545"/>
      <c r="P31" s="545"/>
      <c r="Q31" s="545"/>
      <c r="R31" s="545"/>
      <c r="S31" s="545"/>
      <c r="T31" s="546"/>
      <c r="U31" s="546"/>
      <c r="V31" s="546"/>
      <c r="W31" s="546"/>
      <c r="Y31" s="544"/>
      <c r="Z31" s="544"/>
      <c r="AA31" s="545"/>
      <c r="AB31" s="545"/>
      <c r="AC31" s="545"/>
      <c r="AD31" s="545"/>
      <c r="AE31" s="545"/>
      <c r="AF31" s="546"/>
      <c r="AG31" s="546"/>
      <c r="AH31" s="546"/>
      <c r="AI31" s="546"/>
    </row>
    <row r="32" spans="1:35" ht="11.25" customHeight="1">
      <c r="A32" s="544"/>
      <c r="B32" s="544"/>
      <c r="C32" s="545"/>
      <c r="D32" s="545"/>
      <c r="E32" s="545"/>
      <c r="F32" s="545"/>
      <c r="G32" s="545"/>
      <c r="H32" s="546"/>
      <c r="I32" s="546"/>
      <c r="J32" s="546"/>
      <c r="K32" s="546"/>
      <c r="M32" s="544"/>
      <c r="N32" s="544"/>
      <c r="O32" s="545"/>
      <c r="P32" s="545"/>
      <c r="Q32" s="545"/>
      <c r="R32" s="545"/>
      <c r="S32" s="545"/>
      <c r="T32" s="546"/>
      <c r="U32" s="546"/>
      <c r="V32" s="546"/>
      <c r="W32" s="546"/>
      <c r="Y32" s="544"/>
      <c r="Z32" s="544"/>
      <c r="AA32" s="545"/>
      <c r="AB32" s="545"/>
      <c r="AC32" s="545"/>
      <c r="AD32" s="545"/>
      <c r="AE32" s="545"/>
      <c r="AF32" s="546"/>
      <c r="AG32" s="546"/>
      <c r="AH32" s="546"/>
      <c r="AI32" s="546"/>
    </row>
    <row r="33" spans="1:35" ht="11.25" customHeight="1">
      <c r="A33" s="544"/>
      <c r="B33" s="544"/>
      <c r="C33" s="545"/>
      <c r="D33" s="545"/>
      <c r="E33" s="545"/>
      <c r="F33" s="545"/>
      <c r="G33" s="545"/>
      <c r="H33" s="546"/>
      <c r="I33" s="546"/>
      <c r="J33" s="546"/>
      <c r="K33" s="546"/>
      <c r="L33" s="45"/>
      <c r="M33" s="544"/>
      <c r="N33" s="544"/>
      <c r="O33" s="545"/>
      <c r="P33" s="545"/>
      <c r="Q33" s="545"/>
      <c r="R33" s="545"/>
      <c r="S33" s="545"/>
      <c r="T33" s="546"/>
      <c r="U33" s="546"/>
      <c r="V33" s="546"/>
      <c r="W33" s="546"/>
      <c r="Y33" s="544"/>
      <c r="Z33" s="544"/>
      <c r="AA33" s="545"/>
      <c r="AB33" s="545"/>
      <c r="AC33" s="545"/>
      <c r="AD33" s="545"/>
      <c r="AE33" s="545"/>
      <c r="AF33" s="546"/>
      <c r="AG33" s="546"/>
      <c r="AH33" s="546"/>
      <c r="AI33" s="546"/>
    </row>
    <row r="34" spans="1:35" ht="11.25" customHeight="1">
      <c r="A34" s="544"/>
      <c r="B34" s="544"/>
      <c r="C34" s="545"/>
      <c r="D34" s="545"/>
      <c r="E34" s="545"/>
      <c r="F34" s="545"/>
      <c r="G34" s="545"/>
      <c r="H34" s="546"/>
      <c r="I34" s="546"/>
      <c r="J34" s="546"/>
      <c r="K34" s="546"/>
      <c r="L34" s="45"/>
      <c r="M34" s="544"/>
      <c r="N34" s="544"/>
      <c r="O34" s="545"/>
      <c r="P34" s="545"/>
      <c r="Q34" s="545"/>
      <c r="R34" s="545"/>
      <c r="S34" s="545"/>
      <c r="T34" s="546"/>
      <c r="U34" s="546"/>
      <c r="V34" s="546"/>
      <c r="W34" s="546"/>
      <c r="Y34" s="544"/>
      <c r="Z34" s="544"/>
      <c r="AA34" s="545"/>
      <c r="AB34" s="545"/>
      <c r="AC34" s="545"/>
      <c r="AD34" s="545"/>
      <c r="AE34" s="545"/>
      <c r="AF34" s="546"/>
      <c r="AG34" s="546"/>
      <c r="AH34" s="546"/>
      <c r="AI34" s="546"/>
    </row>
    <row r="35" spans="1:35" ht="11.25" customHeight="1">
      <c r="A35" s="544"/>
      <c r="B35" s="544"/>
      <c r="C35" s="545"/>
      <c r="D35" s="545"/>
      <c r="E35" s="545"/>
      <c r="F35" s="545"/>
      <c r="G35" s="545"/>
      <c r="H35" s="546"/>
      <c r="I35" s="546"/>
      <c r="J35" s="546"/>
      <c r="K35" s="546"/>
      <c r="L35" s="316"/>
      <c r="M35" s="544"/>
      <c r="N35" s="544"/>
      <c r="O35" s="545"/>
      <c r="P35" s="545"/>
      <c r="Q35" s="545"/>
      <c r="R35" s="545"/>
      <c r="S35" s="545"/>
      <c r="T35" s="546"/>
      <c r="U35" s="546"/>
      <c r="V35" s="546"/>
      <c r="W35" s="546"/>
      <c r="Y35" s="544"/>
      <c r="Z35" s="544"/>
      <c r="AA35" s="545"/>
      <c r="AB35" s="545"/>
      <c r="AC35" s="545"/>
      <c r="AD35" s="545"/>
      <c r="AE35" s="545"/>
      <c r="AF35" s="546"/>
      <c r="AG35" s="546"/>
      <c r="AH35" s="546"/>
      <c r="AI35" s="546"/>
    </row>
    <row r="36" spans="1:35" ht="11.25" customHeight="1">
      <c r="A36" s="544"/>
      <c r="B36" s="544"/>
      <c r="C36" s="545"/>
      <c r="D36" s="545"/>
      <c r="E36" s="545"/>
      <c r="F36" s="545"/>
      <c r="G36" s="545"/>
      <c r="H36" s="546"/>
      <c r="I36" s="546"/>
      <c r="J36" s="546"/>
      <c r="K36" s="546"/>
      <c r="L36" s="46"/>
      <c r="M36" s="544"/>
      <c r="N36" s="544"/>
      <c r="O36" s="545"/>
      <c r="P36" s="545"/>
      <c r="Q36" s="545"/>
      <c r="R36" s="545"/>
      <c r="S36" s="545"/>
      <c r="T36" s="546"/>
      <c r="U36" s="546"/>
      <c r="V36" s="546"/>
      <c r="W36" s="546"/>
      <c r="X36" s="46"/>
      <c r="Y36" s="544"/>
      <c r="Z36" s="544"/>
      <c r="AA36" s="545"/>
      <c r="AB36" s="545"/>
      <c r="AC36" s="545"/>
      <c r="AD36" s="545"/>
      <c r="AE36" s="545"/>
      <c r="AF36" s="546"/>
      <c r="AG36" s="546"/>
      <c r="AH36" s="546"/>
      <c r="AI36" s="546"/>
    </row>
    <row r="37" spans="1:35" ht="11.25" customHeight="1">
      <c r="A37" s="544"/>
      <c r="B37" s="544"/>
      <c r="C37" s="545"/>
      <c r="D37" s="545"/>
      <c r="E37" s="545"/>
      <c r="F37" s="545"/>
      <c r="G37" s="545"/>
      <c r="H37" s="546"/>
      <c r="I37" s="546"/>
      <c r="J37" s="546"/>
      <c r="K37" s="546"/>
      <c r="L37" s="46"/>
      <c r="M37" s="544"/>
      <c r="N37" s="544"/>
      <c r="O37" s="545"/>
      <c r="P37" s="545"/>
      <c r="Q37" s="545"/>
      <c r="R37" s="545"/>
      <c r="S37" s="545"/>
      <c r="T37" s="546"/>
      <c r="U37" s="546"/>
      <c r="V37" s="546"/>
      <c r="W37" s="546"/>
      <c r="X37" s="46"/>
      <c r="Y37" s="544"/>
      <c r="Z37" s="544"/>
      <c r="AA37" s="545"/>
      <c r="AB37" s="545"/>
      <c r="AC37" s="545"/>
      <c r="AD37" s="545"/>
      <c r="AE37" s="545"/>
      <c r="AF37" s="546"/>
      <c r="AG37" s="546"/>
      <c r="AH37" s="546"/>
      <c r="AI37" s="546"/>
    </row>
    <row r="38" spans="1:35" ht="11.25" customHeight="1">
      <c r="A38" s="544"/>
      <c r="B38" s="544"/>
      <c r="C38" s="545"/>
      <c r="D38" s="545"/>
      <c r="E38" s="545"/>
      <c r="F38" s="545"/>
      <c r="G38" s="545"/>
      <c r="H38" s="546"/>
      <c r="I38" s="546"/>
      <c r="J38" s="546"/>
      <c r="K38" s="546"/>
      <c r="L38" s="45"/>
      <c r="M38" s="544"/>
      <c r="N38" s="544"/>
      <c r="O38" s="545"/>
      <c r="P38" s="545"/>
      <c r="Q38" s="545"/>
      <c r="R38" s="545"/>
      <c r="S38" s="545"/>
      <c r="T38" s="546"/>
      <c r="U38" s="546"/>
      <c r="V38" s="546"/>
      <c r="W38" s="546"/>
      <c r="X38" s="46"/>
      <c r="Y38" s="544"/>
      <c r="Z38" s="544"/>
      <c r="AA38" s="545"/>
      <c r="AB38" s="545"/>
      <c r="AC38" s="545"/>
      <c r="AD38" s="545"/>
      <c r="AE38" s="545"/>
      <c r="AF38" s="546"/>
      <c r="AG38" s="546"/>
      <c r="AH38" s="546"/>
      <c r="AI38" s="546"/>
    </row>
    <row r="39" spans="1:35" ht="11.25" customHeight="1">
      <c r="A39" s="544"/>
      <c r="B39" s="544"/>
      <c r="C39" s="545"/>
      <c r="D39" s="545"/>
      <c r="E39" s="545"/>
      <c r="F39" s="545"/>
      <c r="G39" s="545"/>
      <c r="H39" s="546"/>
      <c r="I39" s="546"/>
      <c r="J39" s="546"/>
      <c r="K39" s="546"/>
      <c r="L39" s="45"/>
      <c r="M39" s="544"/>
      <c r="N39" s="544"/>
      <c r="O39" s="545"/>
      <c r="P39" s="545"/>
      <c r="Q39" s="545"/>
      <c r="R39" s="545"/>
      <c r="S39" s="545"/>
      <c r="T39" s="546"/>
      <c r="U39" s="546"/>
      <c r="V39" s="546"/>
      <c r="W39" s="546"/>
      <c r="X39" s="46"/>
      <c r="Y39" s="544"/>
      <c r="Z39" s="544"/>
      <c r="AA39" s="545"/>
      <c r="AB39" s="545"/>
      <c r="AC39" s="545"/>
      <c r="AD39" s="545"/>
      <c r="AE39" s="545"/>
      <c r="AF39" s="546"/>
      <c r="AG39" s="546"/>
      <c r="AH39" s="546"/>
      <c r="AI39" s="546"/>
    </row>
    <row r="40" spans="1:35" ht="11.25" customHeight="1">
      <c r="A40" s="544"/>
      <c r="B40" s="544"/>
      <c r="C40" s="545"/>
      <c r="D40" s="545"/>
      <c r="E40" s="545"/>
      <c r="F40" s="545"/>
      <c r="G40" s="545"/>
      <c r="H40" s="546"/>
      <c r="I40" s="546"/>
      <c r="J40" s="546"/>
      <c r="K40" s="546"/>
      <c r="L40" s="45"/>
      <c r="M40" s="544"/>
      <c r="N40" s="544"/>
      <c r="O40" s="545"/>
      <c r="P40" s="545"/>
      <c r="Q40" s="545"/>
      <c r="R40" s="545"/>
      <c r="S40" s="545"/>
      <c r="T40" s="546"/>
      <c r="U40" s="546"/>
      <c r="V40" s="546"/>
      <c r="W40" s="546"/>
      <c r="X40" s="46"/>
      <c r="Y40" s="544"/>
      <c r="Z40" s="544"/>
      <c r="AA40" s="545"/>
      <c r="AB40" s="545"/>
      <c r="AC40" s="545"/>
      <c r="AD40" s="545"/>
      <c r="AE40" s="545"/>
      <c r="AF40" s="546"/>
      <c r="AG40" s="546"/>
      <c r="AH40" s="546"/>
      <c r="AI40" s="546"/>
    </row>
    <row r="41" spans="1:35" ht="11.25" customHeight="1">
      <c r="A41" s="544"/>
      <c r="B41" s="544"/>
      <c r="C41" s="545"/>
      <c r="D41" s="545"/>
      <c r="E41" s="545"/>
      <c r="F41" s="545"/>
      <c r="G41" s="545"/>
      <c r="H41" s="546"/>
      <c r="I41" s="546"/>
      <c r="J41" s="546"/>
      <c r="K41" s="546"/>
      <c r="L41" s="45"/>
      <c r="M41" s="544"/>
      <c r="N41" s="544"/>
      <c r="O41" s="545"/>
      <c r="P41" s="545"/>
      <c r="Q41" s="545"/>
      <c r="R41" s="545"/>
      <c r="S41" s="545"/>
      <c r="T41" s="546"/>
      <c r="U41" s="546"/>
      <c r="V41" s="546"/>
      <c r="W41" s="546"/>
      <c r="X41" s="46"/>
      <c r="Y41" s="544"/>
      <c r="Z41" s="544"/>
      <c r="AA41" s="545"/>
      <c r="AB41" s="545"/>
      <c r="AC41" s="545"/>
      <c r="AD41" s="545"/>
      <c r="AE41" s="545"/>
      <c r="AF41" s="546"/>
      <c r="AG41" s="546"/>
      <c r="AH41" s="546"/>
      <c r="AI41" s="546"/>
    </row>
    <row r="42" spans="1:35" ht="11.25" customHeight="1">
      <c r="A42" s="544"/>
      <c r="B42" s="544"/>
      <c r="C42" s="545"/>
      <c r="D42" s="545"/>
      <c r="E42" s="545"/>
      <c r="F42" s="545"/>
      <c r="G42" s="545"/>
      <c r="H42" s="546"/>
      <c r="I42" s="546"/>
      <c r="J42" s="546"/>
      <c r="K42" s="546"/>
      <c r="L42" s="45"/>
      <c r="M42" s="544"/>
      <c r="N42" s="544"/>
      <c r="O42" s="545"/>
      <c r="P42" s="545"/>
      <c r="Q42" s="545"/>
      <c r="R42" s="545"/>
      <c r="S42" s="545"/>
      <c r="T42" s="546"/>
      <c r="U42" s="546"/>
      <c r="V42" s="546"/>
      <c r="W42" s="546"/>
      <c r="X42" s="46"/>
      <c r="Y42" s="544"/>
      <c r="Z42" s="544"/>
      <c r="AA42" s="545"/>
      <c r="AB42" s="545"/>
      <c r="AC42" s="545"/>
      <c r="AD42" s="545"/>
      <c r="AE42" s="545"/>
      <c r="AF42" s="546"/>
      <c r="AG42" s="546"/>
      <c r="AH42" s="546"/>
      <c r="AI42" s="546"/>
    </row>
    <row r="43" spans="1:35" ht="6" customHeight="1">
      <c r="A43" s="40"/>
      <c r="B43" s="40"/>
      <c r="C43" s="41"/>
      <c r="D43" s="41"/>
      <c r="E43" s="41"/>
      <c r="F43" s="41"/>
      <c r="G43" s="41"/>
      <c r="H43" s="42"/>
      <c r="I43" s="42"/>
      <c r="J43" s="42"/>
      <c r="K43" s="42"/>
      <c r="L43" s="45"/>
      <c r="M43" s="47"/>
      <c r="N43" s="47"/>
      <c r="O43" s="41"/>
      <c r="P43" s="41"/>
      <c r="Q43" s="41"/>
      <c r="R43" s="41"/>
      <c r="S43" s="41"/>
      <c r="T43" s="42"/>
      <c r="U43" s="42"/>
      <c r="V43" s="42"/>
      <c r="W43" s="42"/>
      <c r="X43" s="46"/>
      <c r="Y43" s="47"/>
      <c r="Z43" s="47"/>
      <c r="AA43" s="41"/>
      <c r="AB43" s="41"/>
      <c r="AC43" s="41"/>
      <c r="AD43" s="41"/>
      <c r="AE43" s="41"/>
      <c r="AF43" s="42"/>
      <c r="AG43" s="42"/>
      <c r="AH43" s="42"/>
      <c r="AI43" s="42"/>
    </row>
    <row r="44" spans="1:35">
      <c r="A44" s="549" t="s">
        <v>259</v>
      </c>
      <c r="B44" s="549"/>
      <c r="C44" s="550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1"/>
      <c r="P44" s="551"/>
      <c r="Q44" s="551"/>
      <c r="R44" s="551"/>
      <c r="S44" s="551"/>
      <c r="T44" s="551"/>
      <c r="U44" s="551"/>
      <c r="V44" s="551"/>
      <c r="W44" s="551"/>
      <c r="X44" s="551"/>
      <c r="Y44" s="551"/>
      <c r="Z44" s="551"/>
      <c r="AA44" s="551"/>
      <c r="AB44" s="551"/>
      <c r="AC44" s="551"/>
      <c r="AD44" s="551"/>
      <c r="AE44" s="552"/>
    </row>
    <row r="45" spans="1:35">
      <c r="A45" s="549"/>
      <c r="B45" s="549"/>
      <c r="C45" s="553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54"/>
      <c r="AB45" s="554"/>
      <c r="AC45" s="554"/>
      <c r="AD45" s="554"/>
      <c r="AE45" s="555"/>
    </row>
    <row r="46" spans="1:35">
      <c r="A46" s="549"/>
      <c r="B46" s="549"/>
      <c r="C46" s="553"/>
      <c r="D46" s="554"/>
      <c r="E46" s="554"/>
      <c r="F46" s="554"/>
      <c r="G46" s="554"/>
      <c r="H46" s="554"/>
      <c r="I46" s="554"/>
      <c r="J46" s="554"/>
      <c r="K46" s="554"/>
      <c r="L46" s="554"/>
      <c r="M46" s="554"/>
      <c r="N46" s="554"/>
      <c r="O46" s="554"/>
      <c r="P46" s="554"/>
      <c r="Q46" s="554"/>
      <c r="R46" s="554"/>
      <c r="S46" s="554"/>
      <c r="T46" s="554"/>
      <c r="U46" s="554"/>
      <c r="V46" s="554"/>
      <c r="W46" s="554"/>
      <c r="X46" s="554"/>
      <c r="Y46" s="554"/>
      <c r="Z46" s="554"/>
      <c r="AA46" s="554"/>
      <c r="AB46" s="554"/>
      <c r="AC46" s="554"/>
      <c r="AD46" s="554"/>
      <c r="AE46" s="555"/>
    </row>
    <row r="47" spans="1:35">
      <c r="A47" s="549"/>
      <c r="B47" s="549"/>
      <c r="C47" s="553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554"/>
      <c r="AB47" s="554"/>
      <c r="AC47" s="554"/>
      <c r="AD47" s="554"/>
      <c r="AE47" s="555"/>
    </row>
    <row r="48" spans="1:35" ht="15.75" customHeight="1">
      <c r="A48" s="549"/>
      <c r="B48" s="549"/>
      <c r="C48" s="553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4"/>
      <c r="P48" s="554"/>
      <c r="Q48" s="554"/>
      <c r="R48" s="554"/>
      <c r="S48" s="554"/>
      <c r="T48" s="554"/>
      <c r="U48" s="554"/>
      <c r="V48" s="554"/>
      <c r="W48" s="554"/>
      <c r="X48" s="554"/>
      <c r="Y48" s="554"/>
      <c r="Z48" s="554"/>
      <c r="AA48" s="554"/>
      <c r="AB48" s="554"/>
      <c r="AC48" s="554"/>
      <c r="AD48" s="554"/>
      <c r="AE48" s="555"/>
    </row>
    <row r="49" spans="1:35">
      <c r="A49" s="549"/>
      <c r="B49" s="549"/>
      <c r="C49" s="553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54"/>
      <c r="AB49" s="554"/>
      <c r="AC49" s="554"/>
      <c r="AD49" s="554"/>
      <c r="AE49" s="555"/>
    </row>
    <row r="50" spans="1:35">
      <c r="A50" s="549"/>
      <c r="B50" s="549"/>
      <c r="C50" s="553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54"/>
      <c r="AB50" s="554"/>
      <c r="AC50" s="554"/>
      <c r="AD50" s="554"/>
      <c r="AE50" s="555"/>
      <c r="AF50" s="547" t="s">
        <v>260</v>
      </c>
      <c r="AG50" s="548"/>
      <c r="AH50" s="548"/>
      <c r="AI50" s="548"/>
    </row>
    <row r="51" spans="1:35" ht="5.25" customHeight="1">
      <c r="A51" s="549"/>
      <c r="B51" s="549"/>
      <c r="C51" s="556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57"/>
      <c r="AB51" s="557"/>
      <c r="AC51" s="557"/>
      <c r="AD51" s="557"/>
      <c r="AE51" s="558"/>
      <c r="AF51" s="547"/>
      <c r="AG51" s="548"/>
      <c r="AH51" s="548"/>
      <c r="AI51" s="548"/>
    </row>
  </sheetData>
  <mergeCells count="183">
    <mergeCell ref="AF50:AI51"/>
    <mergeCell ref="AA41:AE42"/>
    <mergeCell ref="O41:S42"/>
    <mergeCell ref="A44:B51"/>
    <mergeCell ref="C44:AE51"/>
    <mergeCell ref="C41:G42"/>
    <mergeCell ref="O39:S40"/>
    <mergeCell ref="AA39:AE40"/>
    <mergeCell ref="A39:B40"/>
    <mergeCell ref="M39:N40"/>
    <mergeCell ref="Y39:Z40"/>
    <mergeCell ref="A41:B42"/>
    <mergeCell ref="M41:N42"/>
    <mergeCell ref="Y41:Z42"/>
    <mergeCell ref="C39:G40"/>
    <mergeCell ref="H41:K42"/>
    <mergeCell ref="T41:W42"/>
    <mergeCell ref="H37:K38"/>
    <mergeCell ref="T37:W38"/>
    <mergeCell ref="AF41:AI42"/>
    <mergeCell ref="A37:B38"/>
    <mergeCell ref="M37:N38"/>
    <mergeCell ref="Y37:Z38"/>
    <mergeCell ref="AA37:AE38"/>
    <mergeCell ref="O37:S38"/>
    <mergeCell ref="O33:S34"/>
    <mergeCell ref="O35:S36"/>
    <mergeCell ref="AF31:AI32"/>
    <mergeCell ref="C33:G34"/>
    <mergeCell ref="C37:G38"/>
    <mergeCell ref="C35:G36"/>
    <mergeCell ref="A35:B36"/>
    <mergeCell ref="M35:N36"/>
    <mergeCell ref="Y35:Z36"/>
    <mergeCell ref="AA35:AE36"/>
    <mergeCell ref="H35:K36"/>
    <mergeCell ref="T35:W36"/>
    <mergeCell ref="AF35:AI36"/>
    <mergeCell ref="AA33:AE34"/>
    <mergeCell ref="AA27:AE28"/>
    <mergeCell ref="H19:K20"/>
    <mergeCell ref="T19:W20"/>
    <mergeCell ref="AF19:AI20"/>
    <mergeCell ref="H23:K24"/>
    <mergeCell ref="T23:W24"/>
    <mergeCell ref="AF37:AI38"/>
    <mergeCell ref="H39:K40"/>
    <mergeCell ref="T39:W40"/>
    <mergeCell ref="AF39:AI40"/>
    <mergeCell ref="AA21:AE22"/>
    <mergeCell ref="AA29:AE30"/>
    <mergeCell ref="AF33:AI34"/>
    <mergeCell ref="O31:S32"/>
    <mergeCell ref="AA5:AE6"/>
    <mergeCell ref="AA7:AE8"/>
    <mergeCell ref="AA3:AE4"/>
    <mergeCell ref="AA17:AE18"/>
    <mergeCell ref="AA31:AE32"/>
    <mergeCell ref="AA11:AE12"/>
    <mergeCell ref="AA19:AE20"/>
    <mergeCell ref="AA13:AE14"/>
    <mergeCell ref="AA9:AE10"/>
    <mergeCell ref="AA15:AE16"/>
    <mergeCell ref="AA25:AE26"/>
    <mergeCell ref="AA23:AE24"/>
    <mergeCell ref="AF27:AI28"/>
    <mergeCell ref="AF25:AI26"/>
    <mergeCell ref="AF21:AI22"/>
    <mergeCell ref="A31:B32"/>
    <mergeCell ref="M31:N32"/>
    <mergeCell ref="Y31:Z32"/>
    <mergeCell ref="A33:B34"/>
    <mergeCell ref="M33:N34"/>
    <mergeCell ref="Y33:Z34"/>
    <mergeCell ref="C31:G32"/>
    <mergeCell ref="H31:K32"/>
    <mergeCell ref="T31:W32"/>
    <mergeCell ref="H33:K34"/>
    <mergeCell ref="T33:W34"/>
    <mergeCell ref="C29:G30"/>
    <mergeCell ref="H29:K30"/>
    <mergeCell ref="T29:W30"/>
    <mergeCell ref="AF29:AI30"/>
    <mergeCell ref="A29:B30"/>
    <mergeCell ref="M29:N30"/>
    <mergeCell ref="Y29:Z30"/>
    <mergeCell ref="O29:S30"/>
    <mergeCell ref="O27:S28"/>
    <mergeCell ref="C25:G26"/>
    <mergeCell ref="O25:S26"/>
    <mergeCell ref="O17:S18"/>
    <mergeCell ref="O13:S14"/>
    <mergeCell ref="C13:G14"/>
    <mergeCell ref="A27:B28"/>
    <mergeCell ref="M27:N28"/>
    <mergeCell ref="Y27:Z28"/>
    <mergeCell ref="C27:G28"/>
    <mergeCell ref="H27:K28"/>
    <mergeCell ref="T27:W28"/>
    <mergeCell ref="A25:B26"/>
    <mergeCell ref="M25:N26"/>
    <mergeCell ref="Y25:Z26"/>
    <mergeCell ref="H25:K26"/>
    <mergeCell ref="T25:W26"/>
    <mergeCell ref="O19:S20"/>
    <mergeCell ref="H21:K22"/>
    <mergeCell ref="T21:W22"/>
    <mergeCell ref="C23:G24"/>
    <mergeCell ref="O21:S22"/>
    <mergeCell ref="A19:B20"/>
    <mergeCell ref="M19:N20"/>
    <mergeCell ref="Y19:Z20"/>
    <mergeCell ref="AF9:AI10"/>
    <mergeCell ref="H3:K4"/>
    <mergeCell ref="T3:W4"/>
    <mergeCell ref="AF3:AI4"/>
    <mergeCell ref="O5:S6"/>
    <mergeCell ref="H5:K6"/>
    <mergeCell ref="T5:W6"/>
    <mergeCell ref="AF5:AI6"/>
    <mergeCell ref="O7:S8"/>
    <mergeCell ref="H7:K8"/>
    <mergeCell ref="T7:W8"/>
    <mergeCell ref="AF7:AI8"/>
    <mergeCell ref="O3:S4"/>
    <mergeCell ref="O9:S10"/>
    <mergeCell ref="AF13:AI14"/>
    <mergeCell ref="H15:K16"/>
    <mergeCell ref="T15:W16"/>
    <mergeCell ref="AF15:AI16"/>
    <mergeCell ref="O11:S12"/>
    <mergeCell ref="O15:S16"/>
    <mergeCell ref="A23:B24"/>
    <mergeCell ref="M23:N24"/>
    <mergeCell ref="Y23:Z24"/>
    <mergeCell ref="O23:S24"/>
    <mergeCell ref="A11:B12"/>
    <mergeCell ref="M11:N12"/>
    <mergeCell ref="Y11:Z12"/>
    <mergeCell ref="Y21:Z22"/>
    <mergeCell ref="C19:G20"/>
    <mergeCell ref="AF23:AI24"/>
    <mergeCell ref="C21:G22"/>
    <mergeCell ref="A21:B22"/>
    <mergeCell ref="M21:N22"/>
    <mergeCell ref="AF11:AI12"/>
    <mergeCell ref="H17:K18"/>
    <mergeCell ref="T17:W18"/>
    <mergeCell ref="AF17:AI18"/>
    <mergeCell ref="H13:K14"/>
    <mergeCell ref="A9:B10"/>
    <mergeCell ref="M9:N10"/>
    <mergeCell ref="Y9:Z10"/>
    <mergeCell ref="H11:K12"/>
    <mergeCell ref="T11:W12"/>
    <mergeCell ref="H9:K10"/>
    <mergeCell ref="T9:W10"/>
    <mergeCell ref="C15:G16"/>
    <mergeCell ref="C17:G18"/>
    <mergeCell ref="C9:G10"/>
    <mergeCell ref="C11:G12"/>
    <mergeCell ref="A17:B18"/>
    <mergeCell ref="M17:N18"/>
    <mergeCell ref="Y17:Z18"/>
    <mergeCell ref="A13:B14"/>
    <mergeCell ref="M13:N14"/>
    <mergeCell ref="Y13:Z14"/>
    <mergeCell ref="A15:B16"/>
    <mergeCell ref="M15:N16"/>
    <mergeCell ref="Y15:Z16"/>
    <mergeCell ref="T13:W14"/>
    <mergeCell ref="A5:B6"/>
    <mergeCell ref="M5:N6"/>
    <mergeCell ref="Y5:Z6"/>
    <mergeCell ref="A7:B8"/>
    <mergeCell ref="M7:N8"/>
    <mergeCell ref="Y7:Z8"/>
    <mergeCell ref="A3:B4"/>
    <mergeCell ref="M3:N4"/>
    <mergeCell ref="Y3:Z4"/>
    <mergeCell ref="C5:G6"/>
    <mergeCell ref="C7:G8"/>
    <mergeCell ref="C3:G4"/>
  </mergeCells>
  <pageMargins left="0.196850393700787" right="0.196850393700787" top="0.196850393700787" bottom="0.196850393700787" header="0.511811023622047" footer="0.511811023622047"/>
  <pageSetup paperSize="9" orientation="landscape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theme="9" tint="-0.249977111117893"/>
    <pageSetUpPr fitToPage="1"/>
  </sheetPr>
  <dimension ref="B1:AA45"/>
  <sheetViews>
    <sheetView zoomScale="70" zoomScaleNormal="70" zoomScalePageLayoutView="68" workbookViewId="0">
      <selection activeCell="D15" sqref="D15"/>
    </sheetView>
  </sheetViews>
  <sheetFormatPr defaultColWidth="8.85546875" defaultRowHeight="12" customHeight="1"/>
  <cols>
    <col min="2" max="2" width="9.140625" customWidth="1"/>
    <col min="3" max="3" width="25" customWidth="1"/>
    <col min="4" max="15" width="10.7109375" customWidth="1"/>
    <col min="16" max="16" width="8.42578125" customWidth="1"/>
  </cols>
  <sheetData>
    <row r="1" spans="2:27" ht="15">
      <c r="B1" s="559"/>
      <c r="C1" s="559"/>
      <c r="D1" s="559" t="s">
        <v>261</v>
      </c>
      <c r="E1" s="559"/>
      <c r="F1" s="559"/>
      <c r="G1" s="559"/>
      <c r="H1" s="560"/>
      <c r="I1" s="560"/>
      <c r="J1" s="561"/>
      <c r="K1" s="560"/>
      <c r="L1" s="560"/>
      <c r="M1" s="560"/>
      <c r="N1" s="562" t="s">
        <v>262</v>
      </c>
      <c r="O1" s="563"/>
      <c r="P1" s="564"/>
      <c r="Q1" s="314"/>
      <c r="R1" s="315"/>
    </row>
    <row r="2" spans="2:27" ht="3.75" customHeight="1"/>
    <row r="3" spans="2:27" s="1" customFormat="1" ht="39.75">
      <c r="B3" s="2" t="s">
        <v>136</v>
      </c>
      <c r="C3" s="3" t="s">
        <v>137</v>
      </c>
      <c r="D3" s="4" t="s">
        <v>138</v>
      </c>
      <c r="E3" s="4" t="s">
        <v>102</v>
      </c>
      <c r="F3" s="5">
        <v>0.05</v>
      </c>
      <c r="G3" s="4" t="s">
        <v>139</v>
      </c>
      <c r="H3" s="6" t="s">
        <v>140</v>
      </c>
      <c r="I3" s="7" t="s">
        <v>56</v>
      </c>
      <c r="J3" s="6" t="s">
        <v>141</v>
      </c>
      <c r="K3" s="4" t="s">
        <v>142</v>
      </c>
      <c r="L3" s="22" t="s">
        <v>143</v>
      </c>
      <c r="M3" s="7" t="s">
        <v>144</v>
      </c>
      <c r="N3" s="23" t="s">
        <v>145</v>
      </c>
      <c r="O3" s="7" t="s">
        <v>263</v>
      </c>
      <c r="P3" s="24" t="s">
        <v>264</v>
      </c>
    </row>
    <row r="4" spans="2:27" ht="20.100000000000001" customHeight="1">
      <c r="B4" s="568" t="s">
        <v>265</v>
      </c>
      <c r="C4" s="8" t="s">
        <v>149</v>
      </c>
      <c r="D4" s="153"/>
      <c r="E4" s="153"/>
      <c r="F4" s="153"/>
      <c r="G4" s="153"/>
      <c r="H4" s="153"/>
      <c r="I4" s="153"/>
      <c r="J4" s="153"/>
      <c r="K4" s="25"/>
      <c r="L4" s="26"/>
      <c r="M4" s="25"/>
      <c r="N4" s="27"/>
      <c r="O4" s="26"/>
      <c r="P4" s="28"/>
    </row>
    <row r="5" spans="2:27" ht="20.100000000000001" customHeight="1">
      <c r="B5" s="568" t="s">
        <v>266</v>
      </c>
      <c r="C5" s="8" t="s">
        <v>150</v>
      </c>
      <c r="D5" s="153"/>
      <c r="E5" s="153"/>
      <c r="F5" s="153"/>
      <c r="G5" s="153"/>
      <c r="H5" s="153"/>
      <c r="I5" s="153"/>
      <c r="J5" s="153"/>
      <c r="K5" s="25"/>
      <c r="L5" s="26"/>
      <c r="M5" s="25"/>
      <c r="N5" s="27"/>
      <c r="O5" s="26"/>
      <c r="P5" s="28"/>
    </row>
    <row r="6" spans="2:27" ht="20.100000000000001" customHeight="1">
      <c r="B6" s="568" t="s">
        <v>267</v>
      </c>
      <c r="C6" s="8" t="s">
        <v>151</v>
      </c>
      <c r="D6" s="153"/>
      <c r="E6" s="153"/>
      <c r="F6" s="153"/>
      <c r="G6" s="153"/>
      <c r="H6" s="153"/>
      <c r="I6" s="153"/>
      <c r="J6" s="153"/>
      <c r="K6" s="25"/>
      <c r="L6" s="26"/>
      <c r="M6" s="25"/>
      <c r="N6" s="27"/>
      <c r="O6" s="26"/>
      <c r="P6" s="28"/>
      <c r="R6" t="s">
        <v>124</v>
      </c>
    </row>
    <row r="7" spans="2:27" ht="20.100000000000001" customHeight="1">
      <c r="B7" s="568" t="s">
        <v>268</v>
      </c>
      <c r="C7" s="8" t="s">
        <v>152</v>
      </c>
      <c r="D7" s="153"/>
      <c r="E7" s="153"/>
      <c r="F7" s="153"/>
      <c r="G7" s="153"/>
      <c r="H7" s="153"/>
      <c r="I7" s="153"/>
      <c r="J7" s="153"/>
      <c r="K7" s="25"/>
      <c r="L7" s="26"/>
      <c r="M7" s="25"/>
      <c r="N7" s="27"/>
      <c r="O7" s="26"/>
      <c r="P7" s="28"/>
    </row>
    <row r="8" spans="2:27" ht="20.100000000000001" customHeight="1">
      <c r="B8" s="569" t="s">
        <v>269</v>
      </c>
      <c r="C8" s="8" t="s">
        <v>153</v>
      </c>
      <c r="D8" s="153"/>
      <c r="E8" s="153"/>
      <c r="F8" s="153"/>
      <c r="G8" s="153"/>
      <c r="H8" s="153"/>
      <c r="I8" s="153"/>
      <c r="J8" s="153"/>
      <c r="K8" s="25"/>
      <c r="L8" s="26"/>
      <c r="M8" s="25"/>
      <c r="N8" s="27"/>
      <c r="O8" s="26"/>
      <c r="P8" s="28"/>
    </row>
    <row r="9" spans="2:27" ht="20.100000000000001" customHeight="1">
      <c r="B9" s="570" t="s">
        <v>270</v>
      </c>
      <c r="C9" s="9" t="s">
        <v>154</v>
      </c>
      <c r="D9" s="153"/>
      <c r="E9" s="153"/>
      <c r="F9" s="153"/>
      <c r="G9" s="153"/>
      <c r="H9" s="153"/>
      <c r="I9" s="153"/>
      <c r="J9" s="153"/>
      <c r="K9" s="25"/>
      <c r="L9" s="26"/>
      <c r="M9" s="25"/>
      <c r="N9" s="27"/>
      <c r="O9" s="26"/>
      <c r="P9" s="28"/>
    </row>
    <row r="10" spans="2:27" ht="20.100000000000001" customHeight="1">
      <c r="B10" s="570" t="s">
        <v>271</v>
      </c>
      <c r="C10" s="10" t="s">
        <v>155</v>
      </c>
      <c r="D10" s="153"/>
      <c r="E10" s="153"/>
      <c r="F10" s="153"/>
      <c r="G10" s="153"/>
      <c r="H10" s="153"/>
      <c r="I10" s="153"/>
      <c r="J10" s="153"/>
      <c r="K10" s="25"/>
      <c r="L10" s="26"/>
      <c r="M10" s="25"/>
      <c r="N10" s="27"/>
      <c r="O10" s="26"/>
      <c r="P10" s="28"/>
    </row>
    <row r="11" spans="2:27" ht="20.100000000000001" customHeight="1">
      <c r="B11" s="568" t="s">
        <v>272</v>
      </c>
      <c r="C11" s="8" t="s">
        <v>273</v>
      </c>
      <c r="D11" s="153"/>
      <c r="E11" s="153"/>
      <c r="F11" s="153"/>
      <c r="G11" s="153"/>
      <c r="H11" s="153"/>
      <c r="I11" s="153"/>
      <c r="J11" s="153"/>
      <c r="K11" s="25"/>
      <c r="L11" s="26"/>
      <c r="M11" s="25"/>
      <c r="N11" s="27"/>
      <c r="O11" s="26"/>
      <c r="P11" s="28"/>
    </row>
    <row r="12" spans="2:27" ht="20.100000000000001" customHeight="1">
      <c r="B12" s="570"/>
      <c r="C12" s="147"/>
      <c r="D12" s="153"/>
      <c r="E12" s="153"/>
      <c r="F12" s="153"/>
      <c r="G12" s="153"/>
      <c r="H12" s="153"/>
      <c r="I12" s="153"/>
      <c r="J12" s="153"/>
      <c r="K12" s="25"/>
      <c r="L12" s="26"/>
      <c r="M12" s="25"/>
      <c r="N12" s="27"/>
      <c r="O12" s="26"/>
      <c r="P12" s="28"/>
    </row>
    <row r="13" spans="2:27" ht="20.100000000000001" customHeight="1">
      <c r="B13" s="570" t="s">
        <v>274</v>
      </c>
      <c r="C13" s="147" t="s">
        <v>159</v>
      </c>
      <c r="D13" s="153"/>
      <c r="E13" s="153"/>
      <c r="F13" s="153"/>
      <c r="G13" s="153"/>
      <c r="H13" s="153"/>
      <c r="I13" s="153"/>
      <c r="J13" s="153"/>
      <c r="K13" s="25"/>
      <c r="L13" s="26"/>
      <c r="M13" s="25"/>
      <c r="N13" s="27"/>
      <c r="O13" s="26"/>
      <c r="P13" s="28"/>
    </row>
    <row r="14" spans="2:27" ht="20.100000000000001" customHeight="1">
      <c r="B14" s="570" t="s">
        <v>275</v>
      </c>
      <c r="C14" s="8" t="s">
        <v>160</v>
      </c>
      <c r="D14" s="153"/>
      <c r="E14" s="153"/>
      <c r="F14" s="153"/>
      <c r="G14" s="153"/>
      <c r="H14" s="153"/>
      <c r="I14" s="153"/>
      <c r="J14" s="153"/>
      <c r="K14" s="25"/>
      <c r="L14" s="26"/>
      <c r="M14" s="25"/>
      <c r="N14" s="27"/>
      <c r="O14" s="26"/>
      <c r="P14" s="28"/>
      <c r="AA14" t="s">
        <v>124</v>
      </c>
    </row>
    <row r="15" spans="2:27" ht="20.100000000000001" customHeight="1">
      <c r="B15" s="568"/>
      <c r="C15" s="11"/>
      <c r="D15" s="153"/>
      <c r="E15" s="153"/>
      <c r="F15" s="153"/>
      <c r="G15" s="153"/>
      <c r="H15" s="153"/>
      <c r="I15" s="153"/>
      <c r="J15" s="153"/>
      <c r="K15" s="25"/>
      <c r="L15" s="26"/>
      <c r="M15" s="25"/>
      <c r="N15" s="27"/>
      <c r="O15" s="26"/>
      <c r="P15" s="28"/>
    </row>
    <row r="16" spans="2:27" ht="20.100000000000001" customHeight="1">
      <c r="B16" s="570" t="s">
        <v>276</v>
      </c>
      <c r="C16" s="9" t="s">
        <v>162</v>
      </c>
      <c r="D16" s="153"/>
      <c r="E16" s="153"/>
      <c r="F16" s="153"/>
      <c r="G16" s="153"/>
      <c r="H16" s="153"/>
      <c r="I16" s="153"/>
      <c r="J16" s="153"/>
      <c r="K16" s="25"/>
      <c r="L16" s="29"/>
      <c r="M16" s="25"/>
      <c r="N16" s="27"/>
      <c r="O16" s="29"/>
      <c r="P16" s="28"/>
    </row>
    <row r="17" spans="2:16" ht="20.100000000000001" customHeight="1">
      <c r="B17" s="570" t="s">
        <v>277</v>
      </c>
      <c r="C17" s="9" t="s">
        <v>163</v>
      </c>
      <c r="D17" s="153"/>
      <c r="E17" s="141"/>
      <c r="F17" s="12"/>
      <c r="G17" s="12"/>
      <c r="H17" s="12"/>
      <c r="I17" s="12"/>
      <c r="J17" s="12"/>
      <c r="K17" s="30"/>
      <c r="L17" s="31"/>
      <c r="M17" s="30"/>
      <c r="N17" s="32"/>
      <c r="O17" s="31"/>
      <c r="P17" s="33"/>
    </row>
    <row r="18" spans="2:16" ht="20.100000000000001" customHeight="1">
      <c r="B18" s="571"/>
      <c r="C18" s="9"/>
      <c r="D18" s="12"/>
      <c r="E18" s="12"/>
      <c r="F18" s="12"/>
      <c r="G18" s="12"/>
      <c r="H18" s="12"/>
      <c r="I18" s="12"/>
      <c r="J18" s="12"/>
      <c r="K18" s="30"/>
      <c r="L18" s="31"/>
      <c r="M18" s="30"/>
      <c r="N18" s="32"/>
      <c r="O18" s="31"/>
      <c r="P18" s="33"/>
    </row>
    <row r="19" spans="2:16" ht="20.100000000000001" customHeight="1">
      <c r="B19" s="570"/>
      <c r="C19" s="9"/>
      <c r="D19" s="12"/>
      <c r="E19" s="12"/>
      <c r="F19" s="12"/>
      <c r="G19" s="12"/>
      <c r="H19" s="12"/>
      <c r="I19" s="12"/>
      <c r="J19" s="12"/>
      <c r="K19" s="30"/>
      <c r="L19" s="31"/>
      <c r="M19" s="30"/>
      <c r="N19" s="32"/>
      <c r="O19" s="31"/>
      <c r="P19" s="33"/>
    </row>
    <row r="20" spans="2:16" ht="20.100000000000001" customHeight="1">
      <c r="B20" s="570" t="s">
        <v>278</v>
      </c>
      <c r="C20" s="147" t="s">
        <v>170</v>
      </c>
      <c r="D20" s="152"/>
      <c r="E20" s="12"/>
      <c r="F20" s="12"/>
      <c r="G20" s="12"/>
      <c r="H20" s="12"/>
      <c r="I20" s="12"/>
      <c r="J20" s="12"/>
      <c r="K20" s="30"/>
      <c r="L20" s="31"/>
      <c r="M20" s="30"/>
      <c r="N20" s="32"/>
      <c r="O20" s="31"/>
      <c r="P20" s="33"/>
    </row>
    <row r="21" spans="2:16" ht="20.100000000000001" customHeight="1">
      <c r="B21" s="570" t="s">
        <v>279</v>
      </c>
      <c r="C21" s="154" t="s">
        <v>171</v>
      </c>
      <c r="D21" s="153"/>
      <c r="E21" s="12"/>
      <c r="F21" s="12"/>
      <c r="G21" s="12"/>
      <c r="H21" s="12"/>
      <c r="I21" s="12"/>
      <c r="J21" s="12"/>
      <c r="K21" s="30"/>
      <c r="L21" s="31"/>
      <c r="M21" s="30"/>
      <c r="N21" s="32"/>
      <c r="O21" s="31"/>
      <c r="P21" s="33"/>
    </row>
    <row r="22" spans="2:16" ht="20.100000000000001" customHeight="1">
      <c r="B22" s="570" t="s">
        <v>280</v>
      </c>
      <c r="C22" s="154" t="s">
        <v>173</v>
      </c>
      <c r="D22" s="153"/>
      <c r="E22" s="12"/>
      <c r="F22" s="12"/>
      <c r="G22" s="12"/>
      <c r="H22" s="12"/>
      <c r="I22" s="12"/>
      <c r="J22" s="12"/>
      <c r="K22" s="30"/>
      <c r="L22" s="31"/>
      <c r="M22" s="30"/>
      <c r="N22" s="32"/>
      <c r="O22" s="31"/>
      <c r="P22" s="33"/>
    </row>
    <row r="23" spans="2:16" ht="20.100000000000001" customHeight="1">
      <c r="B23" s="568" t="s">
        <v>281</v>
      </c>
      <c r="C23" s="8" t="s">
        <v>175</v>
      </c>
      <c r="D23" s="12">
        <v>3000</v>
      </c>
      <c r="E23" s="12"/>
      <c r="F23" s="12"/>
      <c r="G23" s="12"/>
      <c r="H23" s="12"/>
      <c r="I23" s="12"/>
      <c r="J23" s="12"/>
      <c r="K23" s="30"/>
      <c r="L23" s="31"/>
      <c r="M23" s="30"/>
      <c r="N23" s="32"/>
      <c r="O23" s="31"/>
      <c r="P23" s="33"/>
    </row>
    <row r="24" spans="2:16" ht="20.100000000000001" customHeight="1">
      <c r="B24" s="568"/>
      <c r="C24" s="8"/>
      <c r="D24" s="12"/>
      <c r="E24" s="12"/>
      <c r="F24" s="12"/>
      <c r="G24" s="12"/>
      <c r="H24" s="12"/>
      <c r="I24" s="12"/>
      <c r="J24" s="12"/>
      <c r="K24" s="30"/>
      <c r="L24" s="31"/>
      <c r="M24" s="30"/>
      <c r="N24" s="32"/>
      <c r="O24" s="31"/>
      <c r="P24" s="33"/>
    </row>
    <row r="25" spans="2:16" ht="20.100000000000001" customHeight="1">
      <c r="B25" s="570" t="s">
        <v>282</v>
      </c>
      <c r="C25" s="9" t="s">
        <v>177</v>
      </c>
      <c r="D25" s="148"/>
      <c r="E25" s="12"/>
      <c r="F25" s="12"/>
      <c r="G25" s="12"/>
      <c r="H25" s="12"/>
      <c r="I25" s="12"/>
      <c r="J25" s="12"/>
      <c r="K25" s="30"/>
      <c r="L25" s="31"/>
      <c r="M25" s="30"/>
      <c r="N25" s="32"/>
      <c r="O25" s="31"/>
      <c r="P25" s="33"/>
    </row>
    <row r="26" spans="2:16" ht="20.100000000000001" customHeight="1">
      <c r="B26" s="570" t="s">
        <v>283</v>
      </c>
      <c r="C26" s="10" t="s">
        <v>179</v>
      </c>
      <c r="D26" s="153"/>
      <c r="E26" s="12"/>
      <c r="F26" s="12"/>
      <c r="G26" s="12"/>
      <c r="H26" s="12"/>
      <c r="I26" s="12"/>
      <c r="J26" s="12"/>
      <c r="K26" s="30"/>
      <c r="L26" s="31"/>
      <c r="M26" s="30"/>
      <c r="N26" s="32"/>
      <c r="O26" s="31"/>
      <c r="P26" s="33"/>
    </row>
    <row r="27" spans="2:16" ht="20.100000000000001" customHeight="1">
      <c r="B27" s="570"/>
      <c r="C27" s="9"/>
      <c r="D27" s="148"/>
      <c r="E27" s="12"/>
      <c r="F27" s="12"/>
      <c r="G27" s="12"/>
      <c r="H27" s="12"/>
      <c r="I27" s="12"/>
      <c r="J27" s="12"/>
      <c r="K27" s="30"/>
      <c r="L27" s="31"/>
      <c r="M27" s="30"/>
      <c r="N27" s="32"/>
      <c r="O27" s="31"/>
      <c r="P27" s="33"/>
    </row>
    <row r="28" spans="2:16" ht="20.100000000000001" customHeight="1">
      <c r="B28" s="568" t="s">
        <v>181</v>
      </c>
      <c r="C28" s="8" t="s">
        <v>182</v>
      </c>
      <c r="D28" s="153">
        <v>4000</v>
      </c>
      <c r="E28" s="12"/>
      <c r="F28" s="12"/>
      <c r="G28" s="12"/>
      <c r="H28" s="12"/>
      <c r="I28" s="12"/>
      <c r="J28" s="12"/>
      <c r="K28" s="30"/>
      <c r="L28" s="31"/>
      <c r="M28" s="30"/>
      <c r="N28" s="32"/>
      <c r="O28" s="31"/>
      <c r="P28" s="33"/>
    </row>
    <row r="29" spans="2:16" ht="20.100000000000001" customHeight="1">
      <c r="B29" s="568" t="s">
        <v>181</v>
      </c>
      <c r="C29" s="8" t="s">
        <v>184</v>
      </c>
      <c r="D29" s="153">
        <v>4000</v>
      </c>
      <c r="E29" s="12"/>
      <c r="F29" s="12"/>
      <c r="G29" s="12"/>
      <c r="H29" s="12"/>
      <c r="I29" s="12"/>
      <c r="J29" s="12"/>
      <c r="K29" s="30"/>
      <c r="L29" s="31"/>
      <c r="M29" s="30"/>
      <c r="N29" s="32"/>
      <c r="O29" s="31"/>
      <c r="P29" s="33"/>
    </row>
    <row r="30" spans="2:16" ht="20.100000000000001" customHeight="1">
      <c r="B30" s="570" t="s">
        <v>181</v>
      </c>
      <c r="C30" s="8" t="s">
        <v>186</v>
      </c>
      <c r="D30" s="153">
        <v>4000</v>
      </c>
      <c r="E30" s="12"/>
      <c r="F30" s="12"/>
      <c r="G30" s="12"/>
      <c r="H30" s="12"/>
      <c r="I30" s="12"/>
      <c r="J30" s="12"/>
      <c r="K30" s="30"/>
      <c r="L30" s="31"/>
      <c r="M30" s="30"/>
      <c r="N30" s="32"/>
      <c r="O30" s="31"/>
      <c r="P30" s="33"/>
    </row>
    <row r="31" spans="2:16" ht="20.100000000000001" customHeight="1">
      <c r="B31" s="570"/>
      <c r="C31" s="8"/>
      <c r="D31" s="148"/>
      <c r="E31" s="12"/>
      <c r="F31" s="12"/>
      <c r="G31" s="12"/>
      <c r="H31" s="12"/>
      <c r="I31" s="12"/>
      <c r="J31" s="12"/>
      <c r="K31" s="30"/>
      <c r="L31" s="31"/>
      <c r="M31" s="30"/>
      <c r="N31" s="32"/>
      <c r="O31" s="31"/>
      <c r="P31" s="33"/>
    </row>
    <row r="32" spans="2:16" ht="20.100000000000001" customHeight="1">
      <c r="B32" s="568"/>
      <c r="C32" s="8" t="s">
        <v>188</v>
      </c>
      <c r="D32" s="153">
        <v>2000</v>
      </c>
      <c r="E32" s="12"/>
      <c r="F32" s="12"/>
      <c r="G32" s="12"/>
      <c r="H32" s="12"/>
      <c r="I32" s="12"/>
      <c r="J32" s="12"/>
      <c r="K32" s="30"/>
      <c r="L32" s="31"/>
      <c r="M32" s="30"/>
      <c r="N32" s="32"/>
      <c r="O32" s="31"/>
      <c r="P32" s="33"/>
    </row>
    <row r="33" spans="2:16" ht="20.100000000000001" customHeight="1">
      <c r="B33" s="568"/>
      <c r="C33" s="8"/>
      <c r="D33" s="153"/>
      <c r="E33" s="12"/>
      <c r="F33" s="12"/>
      <c r="G33" s="12"/>
      <c r="H33" s="12"/>
      <c r="I33" s="12"/>
      <c r="J33" s="12"/>
      <c r="K33" s="30"/>
      <c r="L33" s="31"/>
      <c r="M33" s="30"/>
      <c r="N33" s="32"/>
      <c r="O33" s="31"/>
      <c r="P33" s="33"/>
    </row>
    <row r="34" spans="2:16" ht="20.100000000000001" customHeight="1">
      <c r="B34" s="570"/>
      <c r="C34" s="8"/>
      <c r="D34" s="153"/>
      <c r="E34" s="12"/>
      <c r="F34" s="12"/>
      <c r="G34" s="12"/>
      <c r="H34" s="12"/>
      <c r="I34" s="12"/>
      <c r="J34" s="12"/>
      <c r="K34" s="30"/>
      <c r="L34" s="31"/>
      <c r="M34" s="30"/>
      <c r="N34" s="32"/>
      <c r="O34" s="31"/>
      <c r="P34" s="33"/>
    </row>
    <row r="35" spans="2:16" ht="20.100000000000001" customHeight="1">
      <c r="B35" s="570"/>
      <c r="C35" s="8"/>
      <c r="D35" s="153"/>
      <c r="E35" s="12"/>
      <c r="F35" s="12"/>
      <c r="G35" s="12"/>
      <c r="H35" s="12"/>
      <c r="I35" s="12"/>
      <c r="J35" s="12"/>
      <c r="K35" s="30"/>
      <c r="L35" s="31"/>
      <c r="M35" s="30"/>
      <c r="N35" s="32"/>
      <c r="O35" s="31"/>
      <c r="P35" s="33"/>
    </row>
    <row r="36" spans="2:16" ht="20.100000000000001" customHeight="1">
      <c r="B36" s="14"/>
      <c r="C36" s="15"/>
      <c r="D36" s="12"/>
      <c r="E36" s="12"/>
      <c r="F36" s="12"/>
      <c r="G36" s="12"/>
      <c r="H36" s="12"/>
      <c r="I36" s="12"/>
      <c r="J36" s="12"/>
      <c r="K36" s="30"/>
      <c r="L36" s="31"/>
      <c r="M36" s="30"/>
      <c r="N36" s="32"/>
      <c r="O36" s="31"/>
      <c r="P36" s="33"/>
    </row>
    <row r="37" spans="2:16" ht="20.100000000000001" customHeight="1">
      <c r="B37" s="14"/>
      <c r="C37" s="15"/>
      <c r="D37" s="12"/>
      <c r="E37" s="12"/>
      <c r="F37" s="12"/>
      <c r="G37" s="12"/>
      <c r="H37" s="12"/>
      <c r="I37" s="12"/>
      <c r="J37" s="12"/>
      <c r="K37" s="30"/>
      <c r="L37" s="31"/>
      <c r="M37" s="30"/>
      <c r="N37" s="32"/>
      <c r="O37" s="31"/>
      <c r="P37" s="33"/>
    </row>
    <row r="38" spans="2:16" ht="24" customHeight="1">
      <c r="B38" s="17"/>
      <c r="C38" s="13" t="s">
        <v>107</v>
      </c>
      <c r="D38" s="18"/>
      <c r="E38" s="18"/>
      <c r="F38" s="18"/>
      <c r="G38" s="19"/>
      <c r="H38" s="20"/>
      <c r="I38" s="19"/>
      <c r="J38" s="20"/>
      <c r="K38" s="34"/>
      <c r="L38" s="35"/>
      <c r="M38" s="34"/>
      <c r="N38" s="34"/>
      <c r="O38" s="35"/>
      <c r="P38" s="36"/>
    </row>
    <row r="39" spans="2:16" ht="15.75">
      <c r="B39" s="565" t="s">
        <v>284</v>
      </c>
      <c r="C39" s="566"/>
      <c r="D39" s="566"/>
      <c r="E39" s="566"/>
      <c r="F39" s="566"/>
      <c r="G39" s="566"/>
      <c r="H39" s="566"/>
      <c r="I39" s="566"/>
      <c r="J39" s="566"/>
      <c r="K39" s="37" t="s">
        <v>124</v>
      </c>
      <c r="L39" s="37"/>
      <c r="M39" s="37"/>
      <c r="N39" s="37"/>
    </row>
    <row r="42" spans="2:16">
      <c r="K42" t="s">
        <v>124</v>
      </c>
    </row>
    <row r="43" spans="2:16">
      <c r="K43" t="s">
        <v>124</v>
      </c>
    </row>
    <row r="45" spans="2:16">
      <c r="D45" t="s">
        <v>124</v>
      </c>
    </row>
  </sheetData>
  <mergeCells count="5">
    <mergeCell ref="B1:C1"/>
    <mergeCell ref="D1:I1"/>
    <mergeCell ref="J1:M1"/>
    <mergeCell ref="N1:P1"/>
    <mergeCell ref="B39:J39"/>
  </mergeCells>
  <pageMargins left="0" right="0" top="0" bottom="0" header="0.31496062992126" footer="0.39370078740157499"/>
  <pageSetup paperSize="9" scale="7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/>
  <cp:revision/>
  <dcterms:created xsi:type="dcterms:W3CDTF">1996-10-08T23:32:00Z</dcterms:created>
  <dcterms:modified xsi:type="dcterms:W3CDTF">2025-11-02T04:57:18Z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81D86D8599644AAF827D8E566787D0A9_12</vt:lpwstr>
  </property>
  <property fmtid="{D5CDD505-2E9C-101B-9397-08002B2CF9AE}" pid="3" name="KSOProductBuildVer">
    <vt:lpwstr>1049-12.2.0.19307</vt:lpwstr>
  </property>
</Properties>
</file>